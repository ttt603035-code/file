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ettings" sheetId="1" state="visible" r:id="rId1"/>
    <sheet name="⏰ Time Log" sheetId="2" state="visible" r:id="rId2"/>
    <sheet name="🏠 Overview" sheetId="3" state="visible" r:id="rId3"/>
    <sheet name="📊 Monthly" sheetId="4" state="visible" r:id="rId4"/>
    <sheet name="📅 Daily" sheetId="5" state="visible" r:id="rId5"/>
    <sheet name="📈 Trend" sheetId="6" state="visible" r:id="rId6"/>
    <sheet name="📊 Charts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hh:mm"/>
    <numFmt numFmtId="166" formatCode="0.0"/>
    <numFmt numFmtId="167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sz val="10"/>
    </font>
    <font>
      <b val="1"/>
      <sz val="24"/>
    </font>
    <font>
      <b val="1"/>
      <sz val="14"/>
    </font>
    <font>
      <sz val="12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4" fillId="0" borderId="0" pivotButton="0" quotePrefix="0" xfId="0"/>
    <xf numFmtId="0" fontId="5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0" fontId="6" fillId="0" borderId="0" pivotButton="0" quotePrefix="0" xfId="0"/>
    <xf numFmtId="166" fontId="5" fillId="0" borderId="0" pivotButton="0" quotePrefix="0" xfId="0"/>
    <xf numFmtId="1" fontId="5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0" customWidth="1" min="4" max="4"/>
  </cols>
  <sheetData>
    <row r="1">
      <c r="A1" s="1" t="inlineStr">
        <is>
          <t>TIME TRACKING CATEGORIES</t>
        </is>
      </c>
    </row>
    <row r="3">
      <c r="A3" s="2" t="inlineStr">
        <is>
          <t>Category</t>
        </is>
      </c>
      <c r="B3" s="2" t="inlineStr">
        <is>
          <t>Color Code</t>
        </is>
      </c>
      <c r="C3" s="2" t="inlineStr">
        <is>
          <t>Icon</t>
        </is>
      </c>
      <c r="D3" s="2" t="inlineStr">
        <is>
          <t>Active</t>
        </is>
      </c>
    </row>
    <row r="4">
      <c r="A4" t="inlineStr">
        <is>
          <t>Study</t>
        </is>
      </c>
      <c r="B4" t="inlineStr">
        <is>
          <t>C8BFE7</t>
        </is>
      </c>
      <c r="C4" t="inlineStr">
        <is>
          <t>📚</t>
        </is>
      </c>
      <c r="D4" t="inlineStr">
        <is>
          <t>YES</t>
        </is>
      </c>
    </row>
    <row r="5">
      <c r="A5" t="inlineStr">
        <is>
          <t>Work</t>
        </is>
      </c>
      <c r="B5" t="inlineStr">
        <is>
          <t>FFA07A</t>
        </is>
      </c>
      <c r="C5" t="inlineStr">
        <is>
          <t>💼</t>
        </is>
      </c>
      <c r="D5" t="inlineStr">
        <is>
          <t>YES</t>
        </is>
      </c>
    </row>
    <row r="6">
      <c r="A6" t="inlineStr">
        <is>
          <t>Sleep</t>
        </is>
      </c>
      <c r="B6" t="inlineStr">
        <is>
          <t>87CEFA</t>
        </is>
      </c>
      <c r="C6" t="inlineStr">
        <is>
          <t>😴</t>
        </is>
      </c>
      <c r="D6" t="inlineStr">
        <is>
          <t>YES</t>
        </is>
      </c>
    </row>
    <row r="7">
      <c r="A7" t="inlineStr">
        <is>
          <t>Personal</t>
        </is>
      </c>
      <c r="B7" t="inlineStr">
        <is>
          <t>FFB6C1</t>
        </is>
      </c>
      <c r="C7" t="inlineStr">
        <is>
          <t>🧍</t>
        </is>
      </c>
      <c r="D7" t="inlineStr">
        <is>
          <t>YES</t>
        </is>
      </c>
    </row>
    <row r="8">
      <c r="A8" t="inlineStr">
        <is>
          <t>Exercise</t>
        </is>
      </c>
      <c r="B8" t="inlineStr">
        <is>
          <t>98FB98</t>
        </is>
      </c>
      <c r="C8" t="inlineStr">
        <is>
          <t>🏃</t>
        </is>
      </c>
      <c r="D8" t="inlineStr">
        <is>
          <t>YES</t>
        </is>
      </c>
    </row>
    <row r="9">
      <c r="A9" t="inlineStr">
        <is>
          <t>Entertainment</t>
        </is>
      </c>
      <c r="B9" t="inlineStr">
        <is>
          <t>FFE4B5</t>
        </is>
      </c>
      <c r="C9" t="inlineStr">
        <is>
          <t>🎮</t>
        </is>
      </c>
      <c r="D9" t="inlineStr">
        <is>
          <t>YES</t>
        </is>
      </c>
    </row>
    <row r="10">
      <c r="A10" t="inlineStr">
        <is>
          <t>Other</t>
        </is>
      </c>
      <c r="B10" t="inlineStr">
        <is>
          <t>D3D3D3</t>
        </is>
      </c>
      <c r="C10" t="inlineStr">
        <is>
          <t>📦</t>
        </is>
      </c>
      <c r="D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14" customWidth="1" min="5" max="5"/>
    <col width="12" customWidth="1" min="6" max="6"/>
    <col width="12" customWidth="1" min="7" max="7"/>
    <col width="15" customWidth="1" min="8" max="8"/>
    <col width="20" customWidth="1" min="9" max="9"/>
    <col width="10" customWidth="1" min="10" max="10"/>
    <col width="8" customWidth="1" min="11" max="11"/>
  </cols>
  <sheetData>
    <row r="1">
      <c r="A1" s="3" t="inlineStr">
        <is>
          <t>ID</t>
        </is>
      </c>
      <c r="B1" s="3" t="inlineStr">
        <is>
          <t>Date</t>
        </is>
      </c>
      <c r="C1" s="3" t="inlineStr">
        <is>
          <t>Start Time</t>
        </is>
      </c>
      <c r="D1" s="3" t="inlineStr">
        <is>
          <t>End Time</t>
        </is>
      </c>
      <c r="E1" s="3" t="inlineStr">
        <is>
          <t>Duration (min)</t>
        </is>
      </c>
      <c r="F1" s="3" t="inlineStr">
        <is>
          <t>Duration</t>
        </is>
      </c>
      <c r="G1" s="3" t="inlineStr">
        <is>
          <t>Category</t>
        </is>
      </c>
      <c r="H1" s="3" t="inlineStr">
        <is>
          <t>Project</t>
        </is>
      </c>
      <c r="I1" s="3" t="inlineStr">
        <is>
          <t>Note</t>
        </is>
      </c>
      <c r="J1" s="3" t="inlineStr">
        <is>
          <t>Month</t>
        </is>
      </c>
      <c r="K1" s="3" t="inlineStr">
        <is>
          <t>Year</t>
        </is>
      </c>
    </row>
    <row r="2">
      <c r="A2">
        <f>IF(B2="", "", ROW()-1)</f>
        <v/>
      </c>
      <c r="B2" s="4" t="inlineStr">
        <is>
          <t>2026-08-01</t>
        </is>
      </c>
      <c r="C2" s="5" t="inlineStr">
        <is>
          <t>09:00</t>
        </is>
      </c>
      <c r="D2" s="5" t="inlineStr">
        <is>
          <t>10:30</t>
        </is>
      </c>
      <c r="E2">
        <f>IF(OR(C2="",D2=""), "", IF(D2&gt;=C2, (HOUR(D2)-HOUR(C2))*60+(MINUTE(D2)-MINUTE(C2)), (24-HOUR(C2))*60-MINUTE(C2)+HOUR(D2)*60+MINUTE(D2))))</f>
        <v/>
      </c>
      <c r="F2">
        <f>IF(E2="", "", TEXT(INT(E2/60),"/0")&amp;"h "&amp;TEXT(MOD(E2,60),"/0")&amp;"m")</f>
        <v/>
      </c>
      <c r="G2" t="inlineStr">
        <is>
          <t>Study</t>
        </is>
      </c>
      <c r="H2" t="inlineStr">
        <is>
          <t>English</t>
        </is>
      </c>
      <c r="I2" t="inlineStr">
        <is>
          <t>Morning study</t>
        </is>
      </c>
      <c r="J2">
        <f>IF(B2="", "", MONTH(B2))</f>
        <v/>
      </c>
      <c r="K2">
        <f>IF(B2="", "", YEAR(B2))</f>
        <v/>
      </c>
    </row>
    <row r="3">
      <c r="A3">
        <f>IF(B3="", "", ROW()-1)</f>
        <v/>
      </c>
      <c r="B3" s="4" t="inlineStr">
        <is>
          <t>2026-08-01</t>
        </is>
      </c>
      <c r="C3" s="5" t="inlineStr">
        <is>
          <t>14:00</t>
        </is>
      </c>
      <c r="D3" s="5" t="inlineStr">
        <is>
          <t>15:30</t>
        </is>
      </c>
      <c r="E3">
        <f>IF(OR(C3="",D3=""), "", IF(D3&gt;=C3, (HOUR(D3)-HOUR(C3))*60+(MINUTE(D3)-MINUTE(C3)), (24-HOUR(C3))*60-MINUTE(C3)+HOUR(D3)*60+MINUTE(D3))))</f>
        <v/>
      </c>
      <c r="F3">
        <f>IF(E3="", "", TEXT(INT(E3/60),"/0")&amp;"h "&amp;TEXT(MOD(E3,60),"/0")&amp;"m")</f>
        <v/>
      </c>
      <c r="G3" t="inlineStr">
        <is>
          <t>Work</t>
        </is>
      </c>
      <c r="H3" t="inlineStr">
        <is>
          <t>Project A</t>
        </is>
      </c>
      <c r="I3" t="inlineStr">
        <is>
          <t>Team meeting</t>
        </is>
      </c>
      <c r="J3">
        <f>IF(B3="", "", MONTH(B3))</f>
        <v/>
      </c>
      <c r="K3">
        <f>IF(B3="", "", YEAR(B3))</f>
        <v/>
      </c>
    </row>
    <row r="4">
      <c r="A4">
        <f>IF(B4="", "", ROW()-1)</f>
        <v/>
      </c>
      <c r="B4" s="4" t="inlineStr">
        <is>
          <t>2026-08-01</t>
        </is>
      </c>
      <c r="C4" s="5" t="inlineStr">
        <is>
          <t>17:00</t>
        </is>
      </c>
      <c r="D4" s="5" t="inlineStr">
        <is>
          <t>00:00</t>
        </is>
      </c>
      <c r="E4">
        <f>IF(OR(C4="",D4=""), "", IF(D4&gt;=C4, (HOUR(D4)-HOUR(C4))*60+(MINUTE(D4)-MINUTE(C4)), (24-HOUR(C4))*60-MINUTE(C4)+HOUR(D4)*60+MINUTE(D4))))</f>
        <v/>
      </c>
      <c r="F4">
        <f>IF(E4="", "", TEXT(INT(E4/60),"/0")&amp;"h "&amp;TEXT(MOD(E4,60),"/0")&amp;"m")</f>
        <v/>
      </c>
      <c r="G4" t="inlineStr">
        <is>
          <t>Work</t>
        </is>
      </c>
      <c r="H4" t="inlineStr">
        <is>
          <t>Project A</t>
        </is>
      </c>
      <c r="I4" t="inlineStr">
        <is>
          <t>Late night work</t>
        </is>
      </c>
      <c r="J4">
        <f>IF(B4="", "", MONTH(B4))</f>
        <v/>
      </c>
      <c r="K4">
        <f>IF(B4="", "", YEAR(B4))</f>
        <v/>
      </c>
    </row>
    <row r="5">
      <c r="A5">
        <f>IF(B5="", "", ROW()-1)</f>
        <v/>
      </c>
      <c r="B5" s="4" t="inlineStr">
        <is>
          <t>2026-08-02</t>
        </is>
      </c>
      <c r="C5" s="5" t="inlineStr">
        <is>
          <t>23:00</t>
        </is>
      </c>
      <c r="D5" s="5" t="inlineStr">
        <is>
          <t>01:00</t>
        </is>
      </c>
      <c r="E5">
        <f>IF(OR(C5="",D5=""), "", IF(D5&gt;=C5, (HOUR(D5)-HOUR(C5))*60+(MINUTE(D5)-MINUTE(C5)), (24-HOUR(C5))*60-MINUTE(C5)+HOUR(D5)*60+MINUTE(D5))))</f>
        <v/>
      </c>
      <c r="F5">
        <f>IF(E5="", "", TEXT(INT(E5/60),"/0")&amp;"h "&amp;TEXT(MOD(E5,60),"/0")&amp;"m")</f>
        <v/>
      </c>
      <c r="G5" t="inlineStr">
        <is>
          <t>Sleep</t>
        </is>
      </c>
      <c r="I5" t="inlineStr">
        <is>
          <t>Night sleep</t>
        </is>
      </c>
      <c r="J5">
        <f>IF(B5="", "", MONTH(B5))</f>
        <v/>
      </c>
      <c r="K5">
        <f>IF(B5="", "", YEAR(B5))</f>
        <v/>
      </c>
    </row>
    <row r="6">
      <c r="A6">
        <f>IF(B6="", "", ROW()-1)</f>
        <v/>
      </c>
      <c r="B6" s="4" t="inlineStr">
        <is>
          <t>2026-08-02</t>
        </is>
      </c>
      <c r="C6" s="5" t="inlineStr">
        <is>
          <t>08:00</t>
        </is>
      </c>
      <c r="D6" s="5" t="inlineStr">
        <is>
          <t>09:00</t>
        </is>
      </c>
      <c r="E6">
        <f>IF(OR(C6="",D6=""), "", IF(D6&gt;=C6, (HOUR(D6)-HOUR(C6))*60+(MINUTE(D6)-MINUTE(C6)), (24-HOUR(C6))*60-MINUTE(C6)+HOUR(D6)*60+MINUTE(D6))))</f>
        <v/>
      </c>
      <c r="F6">
        <f>IF(E6="", "", TEXT(INT(E6/60),"/0")&amp;"h "&amp;TEXT(MOD(E6,60),"/0")&amp;"m")</f>
        <v/>
      </c>
      <c r="G6" t="inlineStr">
        <is>
          <t>Exercise</t>
        </is>
      </c>
      <c r="H6" t="inlineStr">
        <is>
          <t>Morning Run</t>
        </is>
      </c>
      <c r="I6" t="inlineStr">
        <is>
          <t>5km run</t>
        </is>
      </c>
      <c r="J6">
        <f>IF(B6="", "", MONTH(B6))</f>
        <v/>
      </c>
      <c r="K6">
        <f>IF(B6="", "", YEAR(B6))</f>
        <v/>
      </c>
    </row>
    <row r="7">
      <c r="A7">
        <f>IF(B7="", "", ROW()-1)</f>
        <v/>
      </c>
      <c r="B7" s="4" t="inlineStr">
        <is>
          <t>2026-08-02</t>
        </is>
      </c>
      <c r="C7" s="5" t="inlineStr">
        <is>
          <t>10:00</t>
        </is>
      </c>
      <c r="D7" s="5" t="inlineStr">
        <is>
          <t>12:00</t>
        </is>
      </c>
      <c r="E7">
        <f>IF(OR(C7="",D7=""), "", IF(D7&gt;=C7, (HOUR(D7)-HOUR(C7))*60+(MINUTE(D7)-MINUTE(C7)), (24-HOUR(C7))*60-MINUTE(C7)+HOUR(D7)*60+MINUTE(D7))))</f>
        <v/>
      </c>
      <c r="F7">
        <f>IF(E7="", "", TEXT(INT(E7/60),"/0")&amp;"h "&amp;TEXT(MOD(E7,60),"/0")&amp;"m")</f>
        <v/>
      </c>
      <c r="G7" t="inlineStr">
        <is>
          <t>Study</t>
        </is>
      </c>
      <c r="H7" t="inlineStr">
        <is>
          <t>Math</t>
        </is>
      </c>
      <c r="I7" t="inlineStr">
        <is>
          <t>Math homework</t>
        </is>
      </c>
      <c r="J7">
        <f>IF(B7="", "", MONTH(B7))</f>
        <v/>
      </c>
      <c r="K7">
        <f>IF(B7="", "", YEAR(B7))</f>
        <v/>
      </c>
    </row>
    <row r="8">
      <c r="A8">
        <f>IF(B8="", "", ROW()-1)</f>
        <v/>
      </c>
      <c r="B8" s="4" t="inlineStr">
        <is>
          <t>2026-08-03</t>
        </is>
      </c>
      <c r="C8" s="5" t="inlineStr">
        <is>
          <t>09:00</t>
        </is>
      </c>
      <c r="D8" s="5" t="inlineStr">
        <is>
          <t>17:00</t>
        </is>
      </c>
      <c r="E8">
        <f>IF(OR(C8="",D8=""), "", IF(D8&gt;=C8, (HOUR(D8)-HOUR(C8))*60+(MINUTE(D8)-MINUTE(C8)), (24-HOUR(C8))*60-MINUTE(C8)+HOUR(D8)*60+MINUTE(D8))))</f>
        <v/>
      </c>
      <c r="F8">
        <f>IF(E8="", "", TEXT(INT(E8/60),"/0")&amp;"h "&amp;TEXT(MOD(E8,60),"/0")&amp;"m")</f>
        <v/>
      </c>
      <c r="G8" t="inlineStr">
        <is>
          <t>Work</t>
        </is>
      </c>
      <c r="H8" t="inlineStr">
        <is>
          <t>Project B</t>
        </is>
      </c>
      <c r="I8" t="inlineStr">
        <is>
          <t>Full day development</t>
        </is>
      </c>
      <c r="J8">
        <f>IF(B8="", "", MONTH(B8))</f>
        <v/>
      </c>
      <c r="K8">
        <f>IF(B8="", "", YEAR(B8))</f>
        <v/>
      </c>
    </row>
    <row r="9">
      <c r="A9">
        <f>IF(B9="", "", ROW()-1)</f>
        <v/>
      </c>
      <c r="B9" s="4" t="inlineStr">
        <is>
          <t>2026-08-03</t>
        </is>
      </c>
      <c r="C9" s="5" t="inlineStr">
        <is>
          <t>18:00</t>
        </is>
      </c>
      <c r="D9" s="5" t="inlineStr">
        <is>
          <t>20:00</t>
        </is>
      </c>
      <c r="E9">
        <f>IF(OR(C9="",D9=""), "", IF(D9&gt;=C9, (HOUR(D9)-HOUR(C9))*60+(MINUTE(D9)-MINUTE(C9)), (24-HOUR(C9))*60-MINUTE(C9)+HOUR(D9)*60+MINUTE(D9))))</f>
        <v/>
      </c>
      <c r="F9">
        <f>IF(E9="", "", TEXT(INT(E9/60),"/0")&amp;"h "&amp;TEXT(MOD(E9,60),"/0")&amp;"m")</f>
        <v/>
      </c>
      <c r="G9" t="inlineStr">
        <is>
          <t>Personal</t>
        </is>
      </c>
      <c r="I9" t="inlineStr">
        <is>
          <t>Dinner with friends</t>
        </is>
      </c>
      <c r="J9">
        <f>IF(B9="", "", MONTH(B9))</f>
        <v/>
      </c>
      <c r="K9">
        <f>IF(B9="", "", YEAR(B9))</f>
        <v/>
      </c>
    </row>
    <row r="10">
      <c r="A10">
        <f>IF(B10="", "", ROW()-1)</f>
        <v/>
      </c>
      <c r="B10" s="4" t="inlineStr">
        <is>
          <t>2026-08-04</t>
        </is>
      </c>
      <c r="C10" s="5" t="inlineStr">
        <is>
          <t>13:00</t>
        </is>
      </c>
      <c r="D10" s="5" t="inlineStr">
        <is>
          <t>14:30</t>
        </is>
      </c>
      <c r="E10">
        <f>IF(OR(C10="",D10=""), "", IF(D10&gt;=C10, (HOUR(D10)-HOUR(C10))*60+(MINUTE(D10)-MINUTE(C10)), (24-HOUR(C10))*60-MINUTE(C10)+HOUR(D10)*60+MINUTE(D10))))</f>
        <v/>
      </c>
      <c r="F10">
        <f>IF(E10="", "", TEXT(INT(E10/60),"/0")&amp;"h "&amp;TEXT(MOD(E10,60),"/0")&amp;"m")</f>
        <v/>
      </c>
      <c r="G10" t="inlineStr">
        <is>
          <t>Entertainment</t>
        </is>
      </c>
      <c r="I10" t="inlineStr">
        <is>
          <t>Watch movie</t>
        </is>
      </c>
      <c r="J10">
        <f>IF(B10="", "", MONTH(B10))</f>
        <v/>
      </c>
      <c r="K10">
        <f>IF(B10="", "", YEAR(B10))</f>
        <v/>
      </c>
    </row>
    <row r="11">
      <c r="A11">
        <f>IF(B11="", "", ROW()-1)</f>
        <v/>
      </c>
      <c r="B11" s="4" t="inlineStr">
        <is>
          <t>2026-08-05</t>
        </is>
      </c>
      <c r="C11" s="5" t="inlineStr">
        <is>
          <t>10:00</t>
        </is>
      </c>
      <c r="D11" s="5" t="inlineStr">
        <is>
          <t>11:00</t>
        </is>
      </c>
      <c r="E11">
        <f>IF(OR(C11="",D11=""), "", IF(D11&gt;=C11, (HOUR(D11)-HOUR(C11))*60+(MINUTE(D11)-MINUTE(C11)), (24-HOUR(C11))*60-MINUTE(C11)+HOUR(D11)*60+MINUTE(D11))))</f>
        <v/>
      </c>
      <c r="F11">
        <f>IF(E11="", "", TEXT(INT(E11/60),"/0")&amp;"h "&amp;TEXT(MOD(E11,60),"/0")&amp;"m")</f>
        <v/>
      </c>
      <c r="G11" t="inlineStr">
        <is>
          <t>Study</t>
        </is>
      </c>
      <c r="H11" t="inlineStr">
        <is>
          <t>Chinese</t>
        </is>
      </c>
      <c r="I11" t="inlineStr">
        <is>
          <t>Language study</t>
        </is>
      </c>
      <c r="J11">
        <f>IF(B11="", "", MONTH(B11))</f>
        <v/>
      </c>
      <c r="K11">
        <f>IF(B11="", "", YEAR(B11))</f>
        <v/>
      </c>
    </row>
  </sheetData>
  <dataValidations count="1">
    <dataValidation sqref="G2:G1000" showDropDown="0" showInputMessage="0" showErrorMessage="0" allowBlank="1" type="list">
      <formula1>"Study,Work,Sleep,Personal,Exercise,Entertainment,Other"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 TRACKING DASHBOARD</t>
        </is>
      </c>
    </row>
    <row r="3">
      <c r="A3" s="6" t="inlineStr">
        <is>
          <t>Current Month:</t>
        </is>
      </c>
      <c r="B3">
        <f>"August 2026"</f>
        <v/>
      </c>
    </row>
    <row r="5">
      <c r="A5" s="6" t="inlineStr">
        <is>
          <t>TOTAL TRACKED TIME</t>
        </is>
      </c>
    </row>
    <row r="6">
      <c r="A6" s="7" t="inlineStr">
        <is>
          <t>Hours</t>
        </is>
      </c>
    </row>
    <row r="7">
      <c r="B7" s="8">
        <f>SUMIFS("⏰ Time Log"!E:E, "⏰ Time Log"!J:J, MONTH(DATEVALUE($B$3)), "⏰ Time Log"!K:K, YEAR(DATEVALUE($B$3)))/60</f>
        <v/>
      </c>
    </row>
    <row r="9">
      <c r="A9" s="6" t="inlineStr">
        <is>
          <t>RECORDS</t>
        </is>
      </c>
    </row>
    <row r="10">
      <c r="B10" s="8">
        <f>COUNTIFS("⏰ Time Log"!J:J, MONTH(DATEVALUE($B$3)), "⏰ Time Log"!K:K, YEAR(DATEVALUE($B$3)))</f>
        <v/>
      </c>
    </row>
    <row r="12">
      <c r="A12" s="9" t="inlineStr">
        <is>
          <t>CATEGORY BREAKDOWN</t>
        </is>
      </c>
    </row>
    <row r="13">
      <c r="A13" s="6" t="inlineStr">
        <is>
          <t>📚 Study</t>
        </is>
      </c>
    </row>
    <row r="14">
      <c r="B14" s="10">
        <f>SUMIFS("⏰ Time Log"!E:E, "⏰ Time Log"!G:G, "Study", "⏰ Time Log"!J:J, MONTH(DATEVALUE($B$3)), "⏰ Time Log"!K:K, YEAR(DATEVALUE($B$3)))/60</f>
        <v/>
      </c>
      <c r="C14" s="7">
        <f>SUMIFS("⏰ Time Log"!E:E, "⏰ Time Log"!G:G, "Study", "⏰ Time Log"!J:J, MONTH(DATEVALUE($B$3)), "⏰ Time Log"!K:K, YEAR(DATEVALUE($B$3)))</f>
        <v/>
      </c>
      <c r="D14" s="11">
        <f>IF(B14=0, 0, B14/B7)</f>
        <v/>
      </c>
    </row>
    <row r="15">
      <c r="A15" s="6" t="inlineStr">
        <is>
          <t>💼 Work</t>
        </is>
      </c>
    </row>
    <row r="16">
      <c r="B16" s="10">
        <f>SUMIFS("⏰ Time Log"!E:E, "⏰ Time Log"!G:G, "Work", "⏰ Time Log"!J:J, MONTH(DATEVALUE($B$3)), "⏰ Time Log"!K:K, YEAR(DATEVALUE($B$3)))/60</f>
        <v/>
      </c>
      <c r="C16" s="7">
        <f>SUMIFS("⏰ Time Log"!E:E, "⏰ Time Log"!G:G, "Work", "⏰ Time Log"!J:J, MONTH(DATEVALUE($B$3)), "⏰ Time Log"!K:K, YEAR(DATEVALUE($B$3)))</f>
        <v/>
      </c>
      <c r="D16" s="11">
        <f>IF(B16=0, 0, B16/B7)</f>
        <v/>
      </c>
    </row>
    <row r="17">
      <c r="A17" s="6" t="inlineStr">
        <is>
          <t>😴 Sleep</t>
        </is>
      </c>
    </row>
    <row r="18">
      <c r="B18" s="10">
        <f>SUMIFS("⏰ Time Log"!E:E, "⏰ Time Log"!G:G, "Sleep", "⏰ Time Log"!J:J, MONTH(DATEVALUE($B$3)), "⏰ Time Log"!K:K, YEAR(DATEVALUE($B$3)))/60</f>
        <v/>
      </c>
      <c r="C18" s="7">
        <f>SUMIFS("⏰ Time Log"!E:E, "⏰ Time Log"!G:G, "Sleep", "⏰ Time Log"!J:J, MONTH(DATEVALUE($B$3)), "⏰ Time Log"!K:K, YEAR(DATEVALUE($B$3)))</f>
        <v/>
      </c>
      <c r="D18" s="11">
        <f>IF(B18=0, 0, B18/B7)</f>
        <v/>
      </c>
    </row>
    <row r="19">
      <c r="A19" s="6" t="inlineStr">
        <is>
          <t>🧍 Personal</t>
        </is>
      </c>
    </row>
    <row r="20">
      <c r="B20" s="10">
        <f>SUMIFS("⏰ Time Log"!E:E, "⏰ Time Log"!G:G, "Personal", "⏰ Time Log"!J:J, MONTH(DATEVALUE($B$3)), "⏰ Time Log"!K:K, YEAR(DATEVALUE($B$3)))/60</f>
        <v/>
      </c>
      <c r="C20" s="7">
        <f>SUMIFS("⏰ Time Log"!E:E, "⏰ Time Log"!G:G, "Personal", "⏰ Time Log"!J:J, MONTH(DATEVALUE($B$3)), "⏰ Time Log"!K:K, YEAR(DATEVALUE($B$3)))</f>
        <v/>
      </c>
      <c r="D20" s="11">
        <f>IF(B20=0, 0, B20/B7)</f>
        <v/>
      </c>
    </row>
    <row r="21">
      <c r="A21" s="6" t="inlineStr">
        <is>
          <t>🏃 Exercise</t>
        </is>
      </c>
    </row>
    <row r="22">
      <c r="B22" s="10">
        <f>SUMIFS("⏰ Time Log"!E:E, "⏰ Time Log"!G:G, "Exercise", "⏰ Time Log"!J:J, MONTH(DATEVALUE($B$3)), "⏰ Time Log"!K:K, YEAR(DATEVALUE($B$3)))/60</f>
        <v/>
      </c>
      <c r="C22" s="7">
        <f>SUMIFS("⏰ Time Log"!E:E, "⏰ Time Log"!G:G, "Exercise", "⏰ Time Log"!J:J, MONTH(DATEVALUE($B$3)), "⏰ Time Log"!K:K, YEAR(DATEVALUE($B$3)))</f>
        <v/>
      </c>
      <c r="D22" s="11">
        <f>IF(B22=0, 0, B22/B7)</f>
        <v/>
      </c>
    </row>
    <row r="23">
      <c r="A23" s="6" t="inlineStr">
        <is>
          <t>🎮 Entertainment</t>
        </is>
      </c>
    </row>
    <row r="24">
      <c r="B24" s="10">
        <f>SUMIFS("⏰ Time Log"!E:E, "⏰ Time Log"!G:G, "Entertainment", "⏰ Time Log"!J:J, MONTH(DATEVALUE($B$3)), "⏰ Time Log"!K:K, YEAR(DATEVALUE($B$3)))/60</f>
        <v/>
      </c>
      <c r="C24" s="7">
        <f>SUMIFS("⏰ Time Log"!E:E, "⏰ Time Log"!G:G, "Entertainment", "⏰ Time Log"!J:J, MONTH(DATEVALUE($B$3)), "⏰ Time Log"!K:K, YEAR(DATEVALUE($B$3)))</f>
        <v/>
      </c>
      <c r="D24" s="11">
        <f>IF(B24=0, 0, B24/B7)</f>
        <v/>
      </c>
    </row>
    <row r="25">
      <c r="A25" s="6" t="inlineStr">
        <is>
          <t>📦 Other</t>
        </is>
      </c>
    </row>
    <row r="26">
      <c r="B26" s="10">
        <f>SUMIFS("⏰ Time Log"!E:E, "⏰ Time Log"!G:G, "Other", "⏰ Time Log"!J:J, MONTH(DATEVALUE($B$3)), "⏰ Time Log"!K:K, YEAR(DATEVALUE($B$3)))/60</f>
        <v/>
      </c>
      <c r="C26" s="7">
        <f>SUMIFS("⏰ Time Log"!E:E, "⏰ Time Log"!G:G, "Other", "⏰ Time Log"!J:J, MONTH(DATEVALUE($B$3)), "⏰ Time Log"!K:K, YEAR(DATEVALUE($B$3)))</f>
        <v/>
      </c>
      <c r="D26" s="11">
        <f>IF(B26=0, 0, B26/B7)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MONTHLY SUMMARY</t>
        </is>
      </c>
    </row>
    <row r="3">
      <c r="A3" s="6" t="inlineStr">
        <is>
          <t>Selected Month:</t>
        </is>
      </c>
      <c r="B3">
        <f>"August 2026"</f>
        <v/>
      </c>
    </row>
    <row r="5">
      <c r="A5" s="9" t="inlineStr">
        <is>
          <t>OVERVIEW</t>
        </is>
      </c>
    </row>
    <row r="6">
      <c r="A6" s="2" t="inlineStr">
        <is>
          <t>Metric</t>
        </is>
      </c>
      <c r="B6" s="2" t="inlineStr">
        <is>
          <t>Value</t>
        </is>
      </c>
    </row>
    <row r="7">
      <c r="A7" s="12" t="inlineStr">
        <is>
          <t>Total Tracked Time (Hours)</t>
        </is>
      </c>
      <c r="B7" s="13">
        <f>SUMIFS("⏰ Time Log"!E:E, "⏰ Time Log"!J:J, MONTH(DATEVALUE($B$3)), "⏰ Time Log"!K:K, YEAR(DATEVALUE($B$3)))/60</f>
        <v/>
      </c>
    </row>
    <row r="8">
      <c r="A8" s="12" t="inlineStr">
        <is>
          <t>Total Records</t>
        </is>
      </c>
      <c r="B8" s="14">
        <f>COUNTIFS("⏰ Time Log"!J:J, MONTH(DATEVALUE($B$3)), "⏰ Time Log"!K:K, YEAR(DATEVALUE($B$3)))</f>
        <v/>
      </c>
    </row>
    <row r="9">
      <c r="A9" s="12" t="inlineStr">
        <is>
          <t>Average per Day (Hours)</t>
        </is>
      </c>
      <c r="B9" s="13">
        <f>IF(B7=0, 0, B7/DAY(EOMONTH(DATEVALUE($B$3),0)))</f>
        <v/>
      </c>
    </row>
    <row r="10">
      <c r="A10" s="12" t="inlineStr">
        <is>
          <t>Most Active Day</t>
        </is>
      </c>
      <c r="B10" s="9">
        <f>INDEX("📅 Daily"!A:A, MATCH(MAX("📅 Daily"!B:B), "📅 Daily"!B:B, 0))</f>
        <v/>
      </c>
    </row>
    <row r="12">
      <c r="A12" t="inlineStr">
        <is>
          <t>CATEGORY BREAKDOWN</t>
        </is>
      </c>
    </row>
    <row r="13">
      <c r="A13" s="9" t="n"/>
    </row>
    <row r="14">
      <c r="A14" s="2" t="inlineStr">
        <is>
          <t>Category</t>
        </is>
      </c>
      <c r="B14" s="2" t="inlineStr">
        <is>
          <t>Hours</t>
        </is>
      </c>
      <c r="C14" s="2" t="inlineStr">
        <is>
          <t>Minutes</t>
        </is>
      </c>
      <c r="D14" s="2" t="inlineStr">
        <is>
          <t>Total (min)</t>
        </is>
      </c>
      <c r="E14" s="2" t="inlineStr">
        <is>
          <t>Percentage</t>
        </is>
      </c>
    </row>
    <row r="15">
      <c r="A15" t="inlineStr">
        <is>
          <t>Study</t>
        </is>
      </c>
      <c r="B15" s="15">
        <f>SUMIFS("⏰ Time Log"!E:E, "⏰ Time Log"!G:G, "Study", "⏰ Time Log"!J:J, MONTH(DATEVALUE($B$3)), "⏰ Time Log"!K:K, YEAR(DATEVALUE($B$3)))/60</f>
        <v/>
      </c>
      <c r="C15">
        <f>MOD(SUMIFS("⏰ Time Log"!E:E, "⏰ Time Log"!G:G, "Study", "⏰ Time Log"!J:J, MONTH(DATEVALUE($B$3)), "⏰ Time Log"!K:K, YEAR(DATEVALUE($B$3))),60)</f>
        <v/>
      </c>
      <c r="D15">
        <f>SUMIFS("⏰ Time Log"!E:E, "⏰ Time Log"!G:G, "Study", "⏰ Time Log"!J:J, MONTH(DATEVALUE($B$3)), "⏰ Time Log"!K:K, YEAR(DATEVALUE($B$3)))</f>
        <v/>
      </c>
      <c r="E15" s="16">
        <f>IF(B15="" OR B15=0, 0, B15/B7*100)</f>
        <v/>
      </c>
    </row>
    <row r="16">
      <c r="A16" t="inlineStr">
        <is>
          <t>Work</t>
        </is>
      </c>
      <c r="B16" s="15">
        <f>SUMIFS("⏰ Time Log"!E:E, "⏰ Time Log"!G:G, "Work", "⏰ Time Log"!J:J, MONTH(DATEVALUE($B$3)), "⏰ Time Log"!K:K, YEAR(DATEVALUE($B$3)))/60</f>
        <v/>
      </c>
      <c r="C16">
        <f>MOD(SUMIFS("⏰ Time Log"!E:E, "⏰ Time Log"!G:G, "Work", "⏰ Time Log"!J:J, MONTH(DATEVALUE($B$3)), "⏰ Time Log"!K:K, YEAR(DATEVALUE($B$3))),60)</f>
        <v/>
      </c>
      <c r="D16">
        <f>SUMIFS("⏰ Time Log"!E:E, "⏰ Time Log"!G:G, "Work", "⏰ Time Log"!J:J, MONTH(DATEVALUE($B$3)), "⏰ Time Log"!K:K, YEAR(DATEVALUE($B$3)))</f>
        <v/>
      </c>
      <c r="E16" s="16">
        <f>IF(B16="" OR B16=0, 0, B16/B7*100)</f>
        <v/>
      </c>
    </row>
    <row r="17">
      <c r="A17" t="inlineStr">
        <is>
          <t>Sleep</t>
        </is>
      </c>
      <c r="B17" s="15">
        <f>SUMIFS("⏰ Time Log"!E:E, "⏰ Time Log"!G:G, "Sleep", "⏰ Time Log"!J:J, MONTH(DATEVALUE($B$3)), "⏰ Time Log"!K:K, YEAR(DATEVALUE($B$3)))/60</f>
        <v/>
      </c>
      <c r="C17">
        <f>MOD(SUMIFS("⏰ Time Log"!E:E, "⏰ Time Log"!G:G, "Sleep", "⏰ Time Log"!J:J, MONTH(DATEVALUE($B$3)), "⏰ Time Log"!K:K, YEAR(DATEVALUE($B$3))),60)</f>
        <v/>
      </c>
      <c r="D17">
        <f>SUMIFS("⏰ Time Log"!E:E, "⏰ Time Log"!G:G, "Sleep", "⏰ Time Log"!J:J, MONTH(DATEVALUE($B$3)), "⏰ Time Log"!K:K, YEAR(DATEVALUE($B$3)))</f>
        <v/>
      </c>
      <c r="E17" s="16">
        <f>IF(B17="" OR B17=0, 0, B17/B7*100)</f>
        <v/>
      </c>
    </row>
    <row r="18">
      <c r="A18" t="inlineStr">
        <is>
          <t>Personal</t>
        </is>
      </c>
      <c r="B18" s="15">
        <f>SUMIFS("⏰ Time Log"!E:E, "⏰ Time Log"!G:G, "Personal", "⏰ Time Log"!J:J, MONTH(DATEVALUE($B$3)), "⏰ Time Log"!K:K, YEAR(DATEVALUE($B$3)))/60</f>
        <v/>
      </c>
      <c r="C18">
        <f>MOD(SUMIFS("⏰ Time Log"!E:E, "⏰ Time Log"!G:G, "Personal", "⏰ Time Log"!J:J, MONTH(DATEVALUE($B$3)), "⏰ Time Log"!K:K, YEAR(DATEVALUE($B$3))),60)</f>
        <v/>
      </c>
      <c r="D18">
        <f>SUMIFS("⏰ Time Log"!E:E, "⏰ Time Log"!G:G, "Personal", "⏰ Time Log"!J:J, MONTH(DATEVALUE($B$3)), "⏰ Time Log"!K:K, YEAR(DATEVALUE($B$3)))</f>
        <v/>
      </c>
      <c r="E18" s="16">
        <f>IF(B18="" OR B18=0, 0, B18/B7*100)</f>
        <v/>
      </c>
    </row>
    <row r="19">
      <c r="A19" t="inlineStr">
        <is>
          <t>Exercise</t>
        </is>
      </c>
      <c r="B19" s="15">
        <f>SUMIFS("⏰ Time Log"!E:E, "⏰ Time Log"!G:G, "Exercise", "⏰ Time Log"!J:J, MONTH(DATEVALUE($B$3)), "⏰ Time Log"!K:K, YEAR(DATEVALUE($B$3)))/60</f>
        <v/>
      </c>
      <c r="C19">
        <f>MOD(SUMIFS("⏰ Time Log"!E:E, "⏰ Time Log"!G:G, "Exercise", "⏰ Time Log"!J:J, MONTH(DATEVALUE($B$3)), "⏰ Time Log"!K:K, YEAR(DATEVALUE($B$3))),60)</f>
        <v/>
      </c>
      <c r="D19">
        <f>SUMIFS("⏰ Time Log"!E:E, "⏰ Time Log"!G:G, "Exercise", "⏰ Time Log"!J:J, MONTH(DATEVALUE($B$3)), "⏰ Time Log"!K:K, YEAR(DATEVALUE($B$3)))</f>
        <v/>
      </c>
      <c r="E19" s="16">
        <f>IF(B19="" OR B19=0, 0, B19/B7*100)</f>
        <v/>
      </c>
    </row>
    <row r="20">
      <c r="A20" t="inlineStr">
        <is>
          <t>Entertainment</t>
        </is>
      </c>
      <c r="B20" s="15">
        <f>SUMIFS("⏰ Time Log"!E:E, "⏰ Time Log"!G:G, "Entertainment", "⏰ Time Log"!J:J, MONTH(DATEVALUE($B$3)), "⏰ Time Log"!K:K, YEAR(DATEVALUE($B$3)))/60</f>
        <v/>
      </c>
      <c r="C20">
        <f>MOD(SUMIFS("⏰ Time Log"!E:E, "⏰ Time Log"!G:G, "Entertainment", "⏰ Time Log"!J:J, MONTH(DATEVALUE($B$3)), "⏰ Time Log"!K:K, YEAR(DATEVALUE($B$3))),60)</f>
        <v/>
      </c>
      <c r="D20">
        <f>SUMIFS("⏰ Time Log"!E:E, "⏰ Time Log"!G:G, "Entertainment", "⏰ Time Log"!J:J, MONTH(DATEVALUE($B$3)), "⏰ Time Log"!K:K, YEAR(DATEVALUE($B$3)))</f>
        <v/>
      </c>
      <c r="E20" s="16">
        <f>IF(B20="" OR B20=0, 0, B20/B7*100)</f>
        <v/>
      </c>
    </row>
    <row r="21">
      <c r="A21" t="inlineStr">
        <is>
          <t>Other</t>
        </is>
      </c>
      <c r="B21" s="15">
        <f>SUMIFS("⏰ Time Log"!E:E, "⏰ Time Log"!G:G, "Other", "⏰ Time Log"!J:J, MONTH(DATEVALUE($B$3)), "⏰ Time Log"!K:K, YEAR(DATEVALUE($B$3)))/60</f>
        <v/>
      </c>
      <c r="C21">
        <f>MOD(SUMIFS("⏰ Time Log"!E:E, "⏰ Time Log"!G:G, "Other", "⏰ Time Log"!J:J, MONTH(DATEVALUE($B$3)), "⏰ Time Log"!K:K, YEAR(DATEVALUE($B$3))),60)</f>
        <v/>
      </c>
      <c r="D21">
        <f>SUMIFS("⏰ Time Log"!E:E, "⏰ Time Log"!G:G, "Other", "⏰ Time Log"!J:J, MONTH(DATEVALUE($B$3)), "⏰ Time Log"!K:K, YEAR(DATEVALUE($B$3)))</f>
        <v/>
      </c>
      <c r="E21" s="16">
        <f>IF(B21="" OR B21=0, 0, B21/B7*100)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DAILY TIME TRACKING</t>
        </is>
      </c>
    </row>
    <row r="2">
      <c r="A2" s="12" t="inlineStr">
        <is>
          <t>August 2026</t>
        </is>
      </c>
    </row>
    <row r="4">
      <c r="A4" s="2" t="inlineStr">
        <is>
          <t>Date</t>
        </is>
      </c>
      <c r="B4" s="2" t="inlineStr">
        <is>
          <t>Total (min)</t>
        </is>
      </c>
      <c r="C4" s="2" t="inlineStr">
        <is>
          <t>Total</t>
        </is>
      </c>
      <c r="D4" s="2" t="inlineStr">
        <is>
          <t>Study</t>
        </is>
      </c>
      <c r="E4" s="2" t="inlineStr">
        <is>
          <t>Work</t>
        </is>
      </c>
      <c r="F4" s="2" t="inlineStr">
        <is>
          <t>Sleep</t>
        </is>
      </c>
      <c r="G4" s="2" t="inlineStr">
        <is>
          <t>Personal</t>
        </is>
      </c>
      <c r="H4" s="2" t="inlineStr">
        <is>
          <t>Exercise</t>
        </is>
      </c>
      <c r="I4" s="2" t="inlineStr">
        <is>
          <t>Entertainment</t>
        </is>
      </c>
      <c r="J4" s="2" t="inlineStr">
        <is>
          <t>Other</t>
        </is>
      </c>
    </row>
    <row r="5">
      <c r="A5" s="4" t="inlineStr">
        <is>
          <t>2026-08-01</t>
        </is>
      </c>
      <c r="B5">
        <f>SUMIFS("⏰ Time Log"!E:E, "⏰ Time Log"!B:B, "2026-08-01")</f>
        <v/>
      </c>
      <c r="C5">
        <f>IF(B5="", "", TEXT(INT(B5/60),"/0")&amp;"h "&amp;TEXT(MOD(B5,60),"/0")&amp;"m")</f>
        <v/>
      </c>
      <c r="D5">
        <f>SUMIFS("⏰ Time Log"!E:E, "⏰ Time Log"!B:B, "2026-08-01", "⏰ Time Log"!G:G, "Study")</f>
        <v/>
      </c>
      <c r="E5">
        <f>SUMIFS("⏰ Time Log"!E:E, "⏰ Time Log"!B:B, "2026-08-01", "⏰ Time Log"!G:G, "Work")</f>
        <v/>
      </c>
      <c r="F5">
        <f>SUMIFS("⏰ Time Log"!E:E, "⏰ Time Log"!B:B, "2026-08-01", "⏰ Time Log"!G:G, "Sleep")</f>
        <v/>
      </c>
      <c r="G5">
        <f>SUMIFS("⏰ Time Log"!E:E, "⏰ Time Log"!B:B, "2026-08-01", "⏰ Time Log"!G:G, "Personal")</f>
        <v/>
      </c>
      <c r="H5">
        <f>SUMIFS("⏰ Time Log"!E:E, "⏰ Time Log"!B:B, "2026-08-01", "⏰ Time Log"!G:G, "Exercise")</f>
        <v/>
      </c>
      <c r="I5">
        <f>SUMIFS("⏰ Time Log"!E:E, "⏰ Time Log"!B:B, "2026-08-01", "⏰ Time Log"!G:G, "Entertainment")</f>
        <v/>
      </c>
      <c r="J5">
        <f>SUMIFS("⏰ Time Log"!E:E, "⏰ Time Log"!B:B, "2026-08-01", "⏰ Time Log"!G:G, "Other")</f>
        <v/>
      </c>
    </row>
    <row r="6">
      <c r="A6" s="4" t="inlineStr">
        <is>
          <t>2026-08-02</t>
        </is>
      </c>
      <c r="B6">
        <f>SUMIFS("⏰ Time Log"!E:E, "⏰ Time Log"!B:B, "2026-08-02")</f>
        <v/>
      </c>
      <c r="C6">
        <f>IF(B6="", "", TEXT(INT(B6/60),"/0")&amp;"h "&amp;TEXT(MOD(B6,60),"/0")&amp;"m")</f>
        <v/>
      </c>
      <c r="D6">
        <f>SUMIFS("⏰ Time Log"!E:E, "⏰ Time Log"!B:B, "2026-08-02", "⏰ Time Log"!G:G, "Study")</f>
        <v/>
      </c>
      <c r="E6">
        <f>SUMIFS("⏰ Time Log"!E:E, "⏰ Time Log"!B:B, "2026-08-02", "⏰ Time Log"!G:G, "Work")</f>
        <v/>
      </c>
      <c r="F6">
        <f>SUMIFS("⏰ Time Log"!E:E, "⏰ Time Log"!B:B, "2026-08-02", "⏰ Time Log"!G:G, "Sleep")</f>
        <v/>
      </c>
      <c r="G6">
        <f>SUMIFS("⏰ Time Log"!E:E, "⏰ Time Log"!B:B, "2026-08-02", "⏰ Time Log"!G:G, "Personal")</f>
        <v/>
      </c>
      <c r="H6">
        <f>SUMIFS("⏰ Time Log"!E:E, "⏰ Time Log"!B:B, "2026-08-02", "⏰ Time Log"!G:G, "Exercise")</f>
        <v/>
      </c>
      <c r="I6">
        <f>SUMIFS("⏰ Time Log"!E:E, "⏰ Time Log"!B:B, "2026-08-02", "⏰ Time Log"!G:G, "Entertainment")</f>
        <v/>
      </c>
      <c r="J6">
        <f>SUMIFS("⏰ Time Log"!E:E, "⏰ Time Log"!B:B, "2026-08-02", "⏰ Time Log"!G:G, "Other")</f>
        <v/>
      </c>
    </row>
    <row r="7">
      <c r="A7" s="4" t="inlineStr">
        <is>
          <t>2026-08-03</t>
        </is>
      </c>
      <c r="B7">
        <f>SUMIFS("⏰ Time Log"!E:E, "⏰ Time Log"!B:B, "2026-08-03")</f>
        <v/>
      </c>
      <c r="C7">
        <f>IF(B7="", "", TEXT(INT(B7/60),"/0")&amp;"h "&amp;TEXT(MOD(B7,60),"/0")&amp;"m")</f>
        <v/>
      </c>
      <c r="D7">
        <f>SUMIFS("⏰ Time Log"!E:E, "⏰ Time Log"!B:B, "2026-08-03", "⏰ Time Log"!G:G, "Study")</f>
        <v/>
      </c>
      <c r="E7">
        <f>SUMIFS("⏰ Time Log"!E:E, "⏰ Time Log"!B:B, "2026-08-03", "⏰ Time Log"!G:G, "Work")</f>
        <v/>
      </c>
      <c r="F7">
        <f>SUMIFS("⏰ Time Log"!E:E, "⏰ Time Log"!B:B, "2026-08-03", "⏰ Time Log"!G:G, "Sleep")</f>
        <v/>
      </c>
      <c r="G7">
        <f>SUMIFS("⏰ Time Log"!E:E, "⏰ Time Log"!B:B, "2026-08-03", "⏰ Time Log"!G:G, "Personal")</f>
        <v/>
      </c>
      <c r="H7">
        <f>SUMIFS("⏰ Time Log"!E:E, "⏰ Time Log"!B:B, "2026-08-03", "⏰ Time Log"!G:G, "Exercise")</f>
        <v/>
      </c>
      <c r="I7">
        <f>SUMIFS("⏰ Time Log"!E:E, "⏰ Time Log"!B:B, "2026-08-03", "⏰ Time Log"!G:G, "Entertainment")</f>
        <v/>
      </c>
      <c r="J7">
        <f>SUMIFS("⏰ Time Log"!E:E, "⏰ Time Log"!B:B, "2026-08-03", "⏰ Time Log"!G:G, "Other")</f>
        <v/>
      </c>
    </row>
    <row r="8">
      <c r="A8" s="4" t="inlineStr">
        <is>
          <t>2026-08-04</t>
        </is>
      </c>
      <c r="B8">
        <f>SUMIFS("⏰ Time Log"!E:E, "⏰ Time Log"!B:B, "2026-08-04")</f>
        <v/>
      </c>
      <c r="C8">
        <f>IF(B8="", "", TEXT(INT(B8/60),"/0")&amp;"h "&amp;TEXT(MOD(B8,60),"/0")&amp;"m")</f>
        <v/>
      </c>
      <c r="D8">
        <f>SUMIFS("⏰ Time Log"!E:E, "⏰ Time Log"!B:B, "2026-08-04", "⏰ Time Log"!G:G, "Study")</f>
        <v/>
      </c>
      <c r="E8">
        <f>SUMIFS("⏰ Time Log"!E:E, "⏰ Time Log"!B:B, "2026-08-04", "⏰ Time Log"!G:G, "Work")</f>
        <v/>
      </c>
      <c r="F8">
        <f>SUMIFS("⏰ Time Log"!E:E, "⏰ Time Log"!B:B, "2026-08-04", "⏰ Time Log"!G:G, "Sleep")</f>
        <v/>
      </c>
      <c r="G8">
        <f>SUMIFS("⏰ Time Log"!E:E, "⏰ Time Log"!B:B, "2026-08-04", "⏰ Time Log"!G:G, "Personal")</f>
        <v/>
      </c>
      <c r="H8">
        <f>SUMIFS("⏰ Time Log"!E:E, "⏰ Time Log"!B:B, "2026-08-04", "⏰ Time Log"!G:G, "Exercise")</f>
        <v/>
      </c>
      <c r="I8">
        <f>SUMIFS("⏰ Time Log"!E:E, "⏰ Time Log"!B:B, "2026-08-04", "⏰ Time Log"!G:G, "Entertainment")</f>
        <v/>
      </c>
      <c r="J8">
        <f>SUMIFS("⏰ Time Log"!E:E, "⏰ Time Log"!B:B, "2026-08-04", "⏰ Time Log"!G:G, "Other")</f>
        <v/>
      </c>
    </row>
    <row r="9">
      <c r="A9" s="4" t="inlineStr">
        <is>
          <t>2026-08-05</t>
        </is>
      </c>
      <c r="B9">
        <f>SUMIFS("⏰ Time Log"!E:E, "⏰ Time Log"!B:B, "2026-08-05")</f>
        <v/>
      </c>
      <c r="C9">
        <f>IF(B9="", "", TEXT(INT(B9/60),"/0")&amp;"h "&amp;TEXT(MOD(B9,60),"/0")&amp;"m")</f>
        <v/>
      </c>
      <c r="D9">
        <f>SUMIFS("⏰ Time Log"!E:E, "⏰ Time Log"!B:B, "2026-08-05", "⏰ Time Log"!G:G, "Study")</f>
        <v/>
      </c>
      <c r="E9">
        <f>SUMIFS("⏰ Time Log"!E:E, "⏰ Time Log"!B:B, "2026-08-05", "⏰ Time Log"!G:G, "Work")</f>
        <v/>
      </c>
      <c r="F9">
        <f>SUMIFS("⏰ Time Log"!E:E, "⏰ Time Log"!B:B, "2026-08-05", "⏰ Time Log"!G:G, "Sleep")</f>
        <v/>
      </c>
      <c r="G9">
        <f>SUMIFS("⏰ Time Log"!E:E, "⏰ Time Log"!B:B, "2026-08-05", "⏰ Time Log"!G:G, "Personal")</f>
        <v/>
      </c>
      <c r="H9">
        <f>SUMIFS("⏰ Time Log"!E:E, "⏰ Time Log"!B:B, "2026-08-05", "⏰ Time Log"!G:G, "Exercise")</f>
        <v/>
      </c>
      <c r="I9">
        <f>SUMIFS("⏰ Time Log"!E:E, "⏰ Time Log"!B:B, "2026-08-05", "⏰ Time Log"!G:G, "Entertainment")</f>
        <v/>
      </c>
      <c r="J9">
        <f>SUMIFS("⏰ Time Log"!E:E, "⏰ Time Log"!B:B, "2026-08-05", "⏰ Time Log"!G:G, "Other")</f>
        <v/>
      </c>
    </row>
    <row r="10">
      <c r="A10" s="4" t="inlineStr">
        <is>
          <t>2026-08-06</t>
        </is>
      </c>
      <c r="B10">
        <f>SUMIFS("⏰ Time Log"!E:E, "⏰ Time Log"!B:B, "2026-08-06")</f>
        <v/>
      </c>
      <c r="C10">
        <f>IF(B10="", "", TEXT(INT(B10/60),"/0")&amp;"h "&amp;TEXT(MOD(B10,60),"/0")&amp;"m")</f>
        <v/>
      </c>
      <c r="D10">
        <f>SUMIFS("⏰ Time Log"!E:E, "⏰ Time Log"!B:B, "2026-08-06", "⏰ Time Log"!G:G, "Study")</f>
        <v/>
      </c>
      <c r="E10">
        <f>SUMIFS("⏰ Time Log"!E:E, "⏰ Time Log"!B:B, "2026-08-06", "⏰ Time Log"!G:G, "Work")</f>
        <v/>
      </c>
      <c r="F10">
        <f>SUMIFS("⏰ Time Log"!E:E, "⏰ Time Log"!B:B, "2026-08-06", "⏰ Time Log"!G:G, "Sleep")</f>
        <v/>
      </c>
      <c r="G10">
        <f>SUMIFS("⏰ Time Log"!E:E, "⏰ Time Log"!B:B, "2026-08-06", "⏰ Time Log"!G:G, "Personal")</f>
        <v/>
      </c>
      <c r="H10">
        <f>SUMIFS("⏰ Time Log"!E:E, "⏰ Time Log"!B:B, "2026-08-06", "⏰ Time Log"!G:G, "Exercise")</f>
        <v/>
      </c>
      <c r="I10">
        <f>SUMIFS("⏰ Time Log"!E:E, "⏰ Time Log"!B:B, "2026-08-06", "⏰ Time Log"!G:G, "Entertainment")</f>
        <v/>
      </c>
      <c r="J10">
        <f>SUMIFS("⏰ Time Log"!E:E, "⏰ Time Log"!B:B, "2026-08-06", "⏰ Time Log"!G:G, "Other")</f>
        <v/>
      </c>
    </row>
    <row r="11">
      <c r="A11" s="4" t="inlineStr">
        <is>
          <t>2026-08-07</t>
        </is>
      </c>
      <c r="B11">
        <f>SUMIFS("⏰ Time Log"!E:E, "⏰ Time Log"!B:B, "2026-08-07")</f>
        <v/>
      </c>
      <c r="C11">
        <f>IF(B11="", "", TEXT(INT(B11/60),"/0")&amp;"h "&amp;TEXT(MOD(B11,60),"/0")&amp;"m")</f>
        <v/>
      </c>
      <c r="D11">
        <f>SUMIFS("⏰ Time Log"!E:E, "⏰ Time Log"!B:B, "2026-08-07", "⏰ Time Log"!G:G, "Study")</f>
        <v/>
      </c>
      <c r="E11">
        <f>SUMIFS("⏰ Time Log"!E:E, "⏰ Time Log"!B:B, "2026-08-07", "⏰ Time Log"!G:G, "Work")</f>
        <v/>
      </c>
      <c r="F11">
        <f>SUMIFS("⏰ Time Log"!E:E, "⏰ Time Log"!B:B, "2026-08-07", "⏰ Time Log"!G:G, "Sleep")</f>
        <v/>
      </c>
      <c r="G11">
        <f>SUMIFS("⏰ Time Log"!E:E, "⏰ Time Log"!B:B, "2026-08-07", "⏰ Time Log"!G:G, "Personal")</f>
        <v/>
      </c>
      <c r="H11">
        <f>SUMIFS("⏰ Time Log"!E:E, "⏰ Time Log"!B:B, "2026-08-07", "⏰ Time Log"!G:G, "Exercise")</f>
        <v/>
      </c>
      <c r="I11">
        <f>SUMIFS("⏰ Time Log"!E:E, "⏰ Time Log"!B:B, "2026-08-07", "⏰ Time Log"!G:G, "Entertainment")</f>
        <v/>
      </c>
      <c r="J11">
        <f>SUMIFS("⏰ Time Log"!E:E, "⏰ Time Log"!B:B, "2026-08-07", "⏰ Time Log"!G:G, "Other")</f>
        <v/>
      </c>
    </row>
    <row r="12">
      <c r="A12" s="4" t="inlineStr">
        <is>
          <t>2026-08-08</t>
        </is>
      </c>
      <c r="B12">
        <f>SUMIFS("⏰ Time Log"!E:E, "⏰ Time Log"!B:B, "2026-08-08")</f>
        <v/>
      </c>
      <c r="C12">
        <f>IF(B12="", "", TEXT(INT(B12/60),"/0")&amp;"h "&amp;TEXT(MOD(B12,60),"/0")&amp;"m")</f>
        <v/>
      </c>
      <c r="D12">
        <f>SUMIFS("⏰ Time Log"!E:E, "⏰ Time Log"!B:B, "2026-08-08", "⏰ Time Log"!G:G, "Study")</f>
        <v/>
      </c>
      <c r="E12">
        <f>SUMIFS("⏰ Time Log"!E:E, "⏰ Time Log"!B:B, "2026-08-08", "⏰ Time Log"!G:G, "Work")</f>
        <v/>
      </c>
      <c r="F12">
        <f>SUMIFS("⏰ Time Log"!E:E, "⏰ Time Log"!B:B, "2026-08-08", "⏰ Time Log"!G:G, "Sleep")</f>
        <v/>
      </c>
      <c r="G12">
        <f>SUMIFS("⏰ Time Log"!E:E, "⏰ Time Log"!B:B, "2026-08-08", "⏰ Time Log"!G:G, "Personal")</f>
        <v/>
      </c>
      <c r="H12">
        <f>SUMIFS("⏰ Time Log"!E:E, "⏰ Time Log"!B:B, "2026-08-08", "⏰ Time Log"!G:G, "Exercise")</f>
        <v/>
      </c>
      <c r="I12">
        <f>SUMIFS("⏰ Time Log"!E:E, "⏰ Time Log"!B:B, "2026-08-08", "⏰ Time Log"!G:G, "Entertainment")</f>
        <v/>
      </c>
      <c r="J12">
        <f>SUMIFS("⏰ Time Log"!E:E, "⏰ Time Log"!B:B, "2026-08-08", "⏰ Time Log"!G:G, "Other")</f>
        <v/>
      </c>
    </row>
    <row r="13">
      <c r="A13" s="4" t="inlineStr">
        <is>
          <t>2026-08-09</t>
        </is>
      </c>
      <c r="B13">
        <f>SUMIFS("⏰ Time Log"!E:E, "⏰ Time Log"!B:B, "2026-08-09")</f>
        <v/>
      </c>
      <c r="C13">
        <f>IF(B13="", "", TEXT(INT(B13/60),"/0")&amp;"h "&amp;TEXT(MOD(B13,60),"/0")&amp;"m")</f>
        <v/>
      </c>
      <c r="D13">
        <f>SUMIFS("⏰ Time Log"!E:E, "⏰ Time Log"!B:B, "2026-08-09", "⏰ Time Log"!G:G, "Study")</f>
        <v/>
      </c>
      <c r="E13">
        <f>SUMIFS("⏰ Time Log"!E:E, "⏰ Time Log"!B:B, "2026-08-09", "⏰ Time Log"!G:G, "Work")</f>
        <v/>
      </c>
      <c r="F13">
        <f>SUMIFS("⏰ Time Log"!E:E, "⏰ Time Log"!B:B, "2026-08-09", "⏰ Time Log"!G:G, "Sleep")</f>
        <v/>
      </c>
      <c r="G13">
        <f>SUMIFS("⏰ Time Log"!E:E, "⏰ Time Log"!B:B, "2026-08-09", "⏰ Time Log"!G:G, "Personal")</f>
        <v/>
      </c>
      <c r="H13">
        <f>SUMIFS("⏰ Time Log"!E:E, "⏰ Time Log"!B:B, "2026-08-09", "⏰ Time Log"!G:G, "Exercise")</f>
        <v/>
      </c>
      <c r="I13">
        <f>SUMIFS("⏰ Time Log"!E:E, "⏰ Time Log"!B:B, "2026-08-09", "⏰ Time Log"!G:G, "Entertainment")</f>
        <v/>
      </c>
      <c r="J13">
        <f>SUMIFS("⏰ Time Log"!E:E, "⏰ Time Log"!B:B, "2026-08-09", "⏰ Time Log"!G:G, "Other")</f>
        <v/>
      </c>
    </row>
    <row r="14">
      <c r="A14" s="4" t="inlineStr">
        <is>
          <t>2026-08-10</t>
        </is>
      </c>
      <c r="B14">
        <f>SUMIFS("⏰ Time Log"!E:E, "⏰ Time Log"!B:B, "2026-08-10")</f>
        <v/>
      </c>
      <c r="C14">
        <f>IF(B14="", "", TEXT(INT(B14/60),"/0")&amp;"h "&amp;TEXT(MOD(B14,60),"/0")&amp;"m")</f>
        <v/>
      </c>
      <c r="D14">
        <f>SUMIFS("⏰ Time Log"!E:E, "⏰ Time Log"!B:B, "2026-08-10", "⏰ Time Log"!G:G, "Study")</f>
        <v/>
      </c>
      <c r="E14">
        <f>SUMIFS("⏰ Time Log"!E:E, "⏰ Time Log"!B:B, "2026-08-10", "⏰ Time Log"!G:G, "Work")</f>
        <v/>
      </c>
      <c r="F14">
        <f>SUMIFS("⏰ Time Log"!E:E, "⏰ Time Log"!B:B, "2026-08-10", "⏰ Time Log"!G:G, "Sleep")</f>
        <v/>
      </c>
      <c r="G14">
        <f>SUMIFS("⏰ Time Log"!E:E, "⏰ Time Log"!B:B, "2026-08-10", "⏰ Time Log"!G:G, "Personal")</f>
        <v/>
      </c>
      <c r="H14">
        <f>SUMIFS("⏰ Time Log"!E:E, "⏰ Time Log"!B:B, "2026-08-10", "⏰ Time Log"!G:G, "Exercise")</f>
        <v/>
      </c>
      <c r="I14">
        <f>SUMIFS("⏰ Time Log"!E:E, "⏰ Time Log"!B:B, "2026-08-10", "⏰ Time Log"!G:G, "Entertainment")</f>
        <v/>
      </c>
      <c r="J14">
        <f>SUMIFS("⏰ Time Log"!E:E, "⏰ Time Log"!B:B, "2026-08-10", "⏰ Time Log"!G:G, "Other")</f>
        <v/>
      </c>
    </row>
    <row r="15">
      <c r="A15" s="4" t="inlineStr">
        <is>
          <t>2026-08-11</t>
        </is>
      </c>
      <c r="B15">
        <f>SUMIFS("⏰ Time Log"!E:E, "⏰ Time Log"!B:B, "2026-08-11")</f>
        <v/>
      </c>
      <c r="C15">
        <f>IF(B15="", "", TEXT(INT(B15/60),"/0")&amp;"h "&amp;TEXT(MOD(B15,60),"/0")&amp;"m")</f>
        <v/>
      </c>
      <c r="D15">
        <f>SUMIFS("⏰ Time Log"!E:E, "⏰ Time Log"!B:B, "2026-08-11", "⏰ Time Log"!G:G, "Study")</f>
        <v/>
      </c>
      <c r="E15">
        <f>SUMIFS("⏰ Time Log"!E:E, "⏰ Time Log"!B:B, "2026-08-11", "⏰ Time Log"!G:G, "Work")</f>
        <v/>
      </c>
      <c r="F15">
        <f>SUMIFS("⏰ Time Log"!E:E, "⏰ Time Log"!B:B, "2026-08-11", "⏰ Time Log"!G:G, "Sleep")</f>
        <v/>
      </c>
      <c r="G15">
        <f>SUMIFS("⏰ Time Log"!E:E, "⏰ Time Log"!B:B, "2026-08-11", "⏰ Time Log"!G:G, "Personal")</f>
        <v/>
      </c>
      <c r="H15">
        <f>SUMIFS("⏰ Time Log"!E:E, "⏰ Time Log"!B:B, "2026-08-11", "⏰ Time Log"!G:G, "Exercise")</f>
        <v/>
      </c>
      <c r="I15">
        <f>SUMIFS("⏰ Time Log"!E:E, "⏰ Time Log"!B:B, "2026-08-11", "⏰ Time Log"!G:G, "Entertainment")</f>
        <v/>
      </c>
      <c r="J15">
        <f>SUMIFS("⏰ Time Log"!E:E, "⏰ Time Log"!B:B, "2026-08-11", "⏰ Time Log"!G:G, "Other")</f>
        <v/>
      </c>
    </row>
    <row r="16">
      <c r="A16" s="4" t="inlineStr">
        <is>
          <t>2026-08-12</t>
        </is>
      </c>
      <c r="B16">
        <f>SUMIFS("⏰ Time Log"!E:E, "⏰ Time Log"!B:B, "2026-08-12")</f>
        <v/>
      </c>
      <c r="C16">
        <f>IF(B16="", "", TEXT(INT(B16/60),"/0")&amp;"h "&amp;TEXT(MOD(B16,60),"/0")&amp;"m")</f>
        <v/>
      </c>
      <c r="D16">
        <f>SUMIFS("⏰ Time Log"!E:E, "⏰ Time Log"!B:B, "2026-08-12", "⏰ Time Log"!G:G, "Study")</f>
        <v/>
      </c>
      <c r="E16">
        <f>SUMIFS("⏰ Time Log"!E:E, "⏰ Time Log"!B:B, "2026-08-12", "⏰ Time Log"!G:G, "Work")</f>
        <v/>
      </c>
      <c r="F16">
        <f>SUMIFS("⏰ Time Log"!E:E, "⏰ Time Log"!B:B, "2026-08-12", "⏰ Time Log"!G:G, "Sleep")</f>
        <v/>
      </c>
      <c r="G16">
        <f>SUMIFS("⏰ Time Log"!E:E, "⏰ Time Log"!B:B, "2026-08-12", "⏰ Time Log"!G:G, "Personal")</f>
        <v/>
      </c>
      <c r="H16">
        <f>SUMIFS("⏰ Time Log"!E:E, "⏰ Time Log"!B:B, "2026-08-12", "⏰ Time Log"!G:G, "Exercise")</f>
        <v/>
      </c>
      <c r="I16">
        <f>SUMIFS("⏰ Time Log"!E:E, "⏰ Time Log"!B:B, "2026-08-12", "⏰ Time Log"!G:G, "Entertainment")</f>
        <v/>
      </c>
      <c r="J16">
        <f>SUMIFS("⏰ Time Log"!E:E, "⏰ Time Log"!B:B, "2026-08-12", "⏰ Time Log"!G:G, "Other")</f>
        <v/>
      </c>
    </row>
    <row r="17">
      <c r="A17" s="4" t="inlineStr">
        <is>
          <t>2026-08-13</t>
        </is>
      </c>
      <c r="B17">
        <f>SUMIFS("⏰ Time Log"!E:E, "⏰ Time Log"!B:B, "2026-08-13")</f>
        <v/>
      </c>
      <c r="C17">
        <f>IF(B17="", "", TEXT(INT(B17/60),"/0")&amp;"h "&amp;TEXT(MOD(B17,60),"/0")&amp;"m")</f>
        <v/>
      </c>
      <c r="D17">
        <f>SUMIFS("⏰ Time Log"!E:E, "⏰ Time Log"!B:B, "2026-08-13", "⏰ Time Log"!G:G, "Study")</f>
        <v/>
      </c>
      <c r="E17">
        <f>SUMIFS("⏰ Time Log"!E:E, "⏰ Time Log"!B:B, "2026-08-13", "⏰ Time Log"!G:G, "Work")</f>
        <v/>
      </c>
      <c r="F17">
        <f>SUMIFS("⏰ Time Log"!E:E, "⏰ Time Log"!B:B, "2026-08-13", "⏰ Time Log"!G:G, "Sleep")</f>
        <v/>
      </c>
      <c r="G17">
        <f>SUMIFS("⏰ Time Log"!E:E, "⏰ Time Log"!B:B, "2026-08-13", "⏰ Time Log"!G:G, "Personal")</f>
        <v/>
      </c>
      <c r="H17">
        <f>SUMIFS("⏰ Time Log"!E:E, "⏰ Time Log"!B:B, "2026-08-13", "⏰ Time Log"!G:G, "Exercise")</f>
        <v/>
      </c>
      <c r="I17">
        <f>SUMIFS("⏰ Time Log"!E:E, "⏰ Time Log"!B:B, "2026-08-13", "⏰ Time Log"!G:G, "Entertainment")</f>
        <v/>
      </c>
      <c r="J17">
        <f>SUMIFS("⏰ Time Log"!E:E, "⏰ Time Log"!B:B, "2026-08-13", "⏰ Time Log"!G:G, "Other")</f>
        <v/>
      </c>
    </row>
    <row r="18">
      <c r="A18" s="4" t="inlineStr">
        <is>
          <t>2026-08-14</t>
        </is>
      </c>
      <c r="B18">
        <f>SUMIFS("⏰ Time Log"!E:E, "⏰ Time Log"!B:B, "2026-08-14")</f>
        <v/>
      </c>
      <c r="C18">
        <f>IF(B18="", "", TEXT(INT(B18/60),"/0")&amp;"h "&amp;TEXT(MOD(B18,60),"/0")&amp;"m")</f>
        <v/>
      </c>
      <c r="D18">
        <f>SUMIFS("⏰ Time Log"!E:E, "⏰ Time Log"!B:B, "2026-08-14", "⏰ Time Log"!G:G, "Study")</f>
        <v/>
      </c>
      <c r="E18">
        <f>SUMIFS("⏰ Time Log"!E:E, "⏰ Time Log"!B:B, "2026-08-14", "⏰ Time Log"!G:G, "Work")</f>
        <v/>
      </c>
      <c r="F18">
        <f>SUMIFS("⏰ Time Log"!E:E, "⏰ Time Log"!B:B, "2026-08-14", "⏰ Time Log"!G:G, "Sleep")</f>
        <v/>
      </c>
      <c r="G18">
        <f>SUMIFS("⏰ Time Log"!E:E, "⏰ Time Log"!B:B, "2026-08-14", "⏰ Time Log"!G:G, "Personal")</f>
        <v/>
      </c>
      <c r="H18">
        <f>SUMIFS("⏰ Time Log"!E:E, "⏰ Time Log"!B:B, "2026-08-14", "⏰ Time Log"!G:G, "Exercise")</f>
        <v/>
      </c>
      <c r="I18">
        <f>SUMIFS("⏰ Time Log"!E:E, "⏰ Time Log"!B:B, "2026-08-14", "⏰ Time Log"!G:G, "Entertainment")</f>
        <v/>
      </c>
      <c r="J18">
        <f>SUMIFS("⏰ Time Log"!E:E, "⏰ Time Log"!B:B, "2026-08-14", "⏰ Time Log"!G:G, "Other")</f>
        <v/>
      </c>
    </row>
    <row r="19">
      <c r="A19" s="4" t="inlineStr">
        <is>
          <t>2026-08-15</t>
        </is>
      </c>
      <c r="B19">
        <f>SUMIFS("⏰ Time Log"!E:E, "⏰ Time Log"!B:B, "2026-08-15")</f>
        <v/>
      </c>
      <c r="C19">
        <f>IF(B19="", "", TEXT(INT(B19/60),"/0")&amp;"h "&amp;TEXT(MOD(B19,60),"/0")&amp;"m")</f>
        <v/>
      </c>
      <c r="D19">
        <f>SUMIFS("⏰ Time Log"!E:E, "⏰ Time Log"!B:B, "2026-08-15", "⏰ Time Log"!G:G, "Study")</f>
        <v/>
      </c>
      <c r="E19">
        <f>SUMIFS("⏰ Time Log"!E:E, "⏰ Time Log"!B:B, "2026-08-15", "⏰ Time Log"!G:G, "Work")</f>
        <v/>
      </c>
      <c r="F19">
        <f>SUMIFS("⏰ Time Log"!E:E, "⏰ Time Log"!B:B, "2026-08-15", "⏰ Time Log"!G:G, "Sleep")</f>
        <v/>
      </c>
      <c r="G19">
        <f>SUMIFS("⏰ Time Log"!E:E, "⏰ Time Log"!B:B, "2026-08-15", "⏰ Time Log"!G:G, "Personal")</f>
        <v/>
      </c>
      <c r="H19">
        <f>SUMIFS("⏰ Time Log"!E:E, "⏰ Time Log"!B:B, "2026-08-15", "⏰ Time Log"!G:G, "Exercise")</f>
        <v/>
      </c>
      <c r="I19">
        <f>SUMIFS("⏰ Time Log"!E:E, "⏰ Time Log"!B:B, "2026-08-15", "⏰ Time Log"!G:G, "Entertainment")</f>
        <v/>
      </c>
      <c r="J19">
        <f>SUMIFS("⏰ Time Log"!E:E, "⏰ Time Log"!B:B, "2026-08-15", "⏰ Time Log"!G:G, "Other")</f>
        <v/>
      </c>
    </row>
    <row r="20">
      <c r="A20" s="4" t="inlineStr">
        <is>
          <t>2026-08-16</t>
        </is>
      </c>
      <c r="B20">
        <f>SUMIFS("⏰ Time Log"!E:E, "⏰ Time Log"!B:B, "2026-08-16")</f>
        <v/>
      </c>
      <c r="C20">
        <f>IF(B20="", "", TEXT(INT(B20/60),"/0")&amp;"h "&amp;TEXT(MOD(B20,60),"/0")&amp;"m")</f>
        <v/>
      </c>
      <c r="D20">
        <f>SUMIFS("⏰ Time Log"!E:E, "⏰ Time Log"!B:B, "2026-08-16", "⏰ Time Log"!G:G, "Study")</f>
        <v/>
      </c>
      <c r="E20">
        <f>SUMIFS("⏰ Time Log"!E:E, "⏰ Time Log"!B:B, "2026-08-16", "⏰ Time Log"!G:G, "Work")</f>
        <v/>
      </c>
      <c r="F20">
        <f>SUMIFS("⏰ Time Log"!E:E, "⏰ Time Log"!B:B, "2026-08-16", "⏰ Time Log"!G:G, "Sleep")</f>
        <v/>
      </c>
      <c r="G20">
        <f>SUMIFS("⏰ Time Log"!E:E, "⏰ Time Log"!B:B, "2026-08-16", "⏰ Time Log"!G:G, "Personal")</f>
        <v/>
      </c>
      <c r="H20">
        <f>SUMIFS("⏰ Time Log"!E:E, "⏰ Time Log"!B:B, "2026-08-16", "⏰ Time Log"!G:G, "Exercise")</f>
        <v/>
      </c>
      <c r="I20">
        <f>SUMIFS("⏰ Time Log"!E:E, "⏰ Time Log"!B:B, "2026-08-16", "⏰ Time Log"!G:G, "Entertainment")</f>
        <v/>
      </c>
      <c r="J20">
        <f>SUMIFS("⏰ Time Log"!E:E, "⏰ Time Log"!B:B, "2026-08-16", "⏰ Time Log"!G:G, "Other")</f>
        <v/>
      </c>
    </row>
    <row r="21">
      <c r="A21" s="4" t="inlineStr">
        <is>
          <t>2026-08-17</t>
        </is>
      </c>
      <c r="B21">
        <f>SUMIFS("⏰ Time Log"!E:E, "⏰ Time Log"!B:B, "2026-08-17")</f>
        <v/>
      </c>
      <c r="C21">
        <f>IF(B21="", "", TEXT(INT(B21/60),"/0")&amp;"h "&amp;TEXT(MOD(B21,60),"/0")&amp;"m")</f>
        <v/>
      </c>
      <c r="D21">
        <f>SUMIFS("⏰ Time Log"!E:E, "⏰ Time Log"!B:B, "2026-08-17", "⏰ Time Log"!G:G, "Study")</f>
        <v/>
      </c>
      <c r="E21">
        <f>SUMIFS("⏰ Time Log"!E:E, "⏰ Time Log"!B:B, "2026-08-17", "⏰ Time Log"!G:G, "Work")</f>
        <v/>
      </c>
      <c r="F21">
        <f>SUMIFS("⏰ Time Log"!E:E, "⏰ Time Log"!B:B, "2026-08-17", "⏰ Time Log"!G:G, "Sleep")</f>
        <v/>
      </c>
      <c r="G21">
        <f>SUMIFS("⏰ Time Log"!E:E, "⏰ Time Log"!B:B, "2026-08-17", "⏰ Time Log"!G:G, "Personal")</f>
        <v/>
      </c>
      <c r="H21">
        <f>SUMIFS("⏰ Time Log"!E:E, "⏰ Time Log"!B:B, "2026-08-17", "⏰ Time Log"!G:G, "Exercise")</f>
        <v/>
      </c>
      <c r="I21">
        <f>SUMIFS("⏰ Time Log"!E:E, "⏰ Time Log"!B:B, "2026-08-17", "⏰ Time Log"!G:G, "Entertainment")</f>
        <v/>
      </c>
      <c r="J21">
        <f>SUMIFS("⏰ Time Log"!E:E, "⏰ Time Log"!B:B, "2026-08-17", "⏰ Time Log"!G:G, "Other")</f>
        <v/>
      </c>
    </row>
    <row r="22">
      <c r="A22" s="4" t="inlineStr">
        <is>
          <t>2026-08-18</t>
        </is>
      </c>
      <c r="B22">
        <f>SUMIFS("⏰ Time Log"!E:E, "⏰ Time Log"!B:B, "2026-08-18")</f>
        <v/>
      </c>
      <c r="C22">
        <f>IF(B22="", "", TEXT(INT(B22/60),"/0")&amp;"h "&amp;TEXT(MOD(B22,60),"/0")&amp;"m")</f>
        <v/>
      </c>
      <c r="D22">
        <f>SUMIFS("⏰ Time Log"!E:E, "⏰ Time Log"!B:B, "2026-08-18", "⏰ Time Log"!G:G, "Study")</f>
        <v/>
      </c>
      <c r="E22">
        <f>SUMIFS("⏰ Time Log"!E:E, "⏰ Time Log"!B:B, "2026-08-18", "⏰ Time Log"!G:G, "Work")</f>
        <v/>
      </c>
      <c r="F22">
        <f>SUMIFS("⏰ Time Log"!E:E, "⏰ Time Log"!B:B, "2026-08-18", "⏰ Time Log"!G:G, "Sleep")</f>
        <v/>
      </c>
      <c r="G22">
        <f>SUMIFS("⏰ Time Log"!E:E, "⏰ Time Log"!B:B, "2026-08-18", "⏰ Time Log"!G:G, "Personal")</f>
        <v/>
      </c>
      <c r="H22">
        <f>SUMIFS("⏰ Time Log"!E:E, "⏰ Time Log"!B:B, "2026-08-18", "⏰ Time Log"!G:G, "Exercise")</f>
        <v/>
      </c>
      <c r="I22">
        <f>SUMIFS("⏰ Time Log"!E:E, "⏰ Time Log"!B:B, "2026-08-18", "⏰ Time Log"!G:G, "Entertainment")</f>
        <v/>
      </c>
      <c r="J22">
        <f>SUMIFS("⏰ Time Log"!E:E, "⏰ Time Log"!B:B, "2026-08-18", "⏰ Time Log"!G:G, "Other")</f>
        <v/>
      </c>
    </row>
    <row r="23">
      <c r="A23" s="4" t="inlineStr">
        <is>
          <t>2026-08-19</t>
        </is>
      </c>
      <c r="B23">
        <f>SUMIFS("⏰ Time Log"!E:E, "⏰ Time Log"!B:B, "2026-08-19")</f>
        <v/>
      </c>
      <c r="C23">
        <f>IF(B23="", "", TEXT(INT(B23/60),"/0")&amp;"h "&amp;TEXT(MOD(B23,60),"/0")&amp;"m")</f>
        <v/>
      </c>
      <c r="D23">
        <f>SUMIFS("⏰ Time Log"!E:E, "⏰ Time Log"!B:B, "2026-08-19", "⏰ Time Log"!G:G, "Study")</f>
        <v/>
      </c>
      <c r="E23">
        <f>SUMIFS("⏰ Time Log"!E:E, "⏰ Time Log"!B:B, "2026-08-19", "⏰ Time Log"!G:G, "Work")</f>
        <v/>
      </c>
      <c r="F23">
        <f>SUMIFS("⏰ Time Log"!E:E, "⏰ Time Log"!B:B, "2026-08-19", "⏰ Time Log"!G:G, "Sleep")</f>
        <v/>
      </c>
      <c r="G23">
        <f>SUMIFS("⏰ Time Log"!E:E, "⏰ Time Log"!B:B, "2026-08-19", "⏰ Time Log"!G:G, "Personal")</f>
        <v/>
      </c>
      <c r="H23">
        <f>SUMIFS("⏰ Time Log"!E:E, "⏰ Time Log"!B:B, "2026-08-19", "⏰ Time Log"!G:G, "Exercise")</f>
        <v/>
      </c>
      <c r="I23">
        <f>SUMIFS("⏰ Time Log"!E:E, "⏰ Time Log"!B:B, "2026-08-19", "⏰ Time Log"!G:G, "Entertainment")</f>
        <v/>
      </c>
      <c r="J23">
        <f>SUMIFS("⏰ Time Log"!E:E, "⏰ Time Log"!B:B, "2026-08-19", "⏰ Time Log"!G:G, "Other")</f>
        <v/>
      </c>
    </row>
    <row r="24">
      <c r="A24" s="4" t="inlineStr">
        <is>
          <t>2026-08-20</t>
        </is>
      </c>
      <c r="B24">
        <f>SUMIFS("⏰ Time Log"!E:E, "⏰ Time Log"!B:B, "2026-08-20")</f>
        <v/>
      </c>
      <c r="C24">
        <f>IF(B24="", "", TEXT(INT(B24/60),"/0")&amp;"h "&amp;TEXT(MOD(B24,60),"/0")&amp;"m")</f>
        <v/>
      </c>
      <c r="D24">
        <f>SUMIFS("⏰ Time Log"!E:E, "⏰ Time Log"!B:B, "2026-08-20", "⏰ Time Log"!G:G, "Study")</f>
        <v/>
      </c>
      <c r="E24">
        <f>SUMIFS("⏰ Time Log"!E:E, "⏰ Time Log"!B:B, "2026-08-20", "⏰ Time Log"!G:G, "Work")</f>
        <v/>
      </c>
      <c r="F24">
        <f>SUMIFS("⏰ Time Log"!E:E, "⏰ Time Log"!B:B, "2026-08-20", "⏰ Time Log"!G:G, "Sleep")</f>
        <v/>
      </c>
      <c r="G24">
        <f>SUMIFS("⏰ Time Log"!E:E, "⏰ Time Log"!B:B, "2026-08-20", "⏰ Time Log"!G:G, "Personal")</f>
        <v/>
      </c>
      <c r="H24">
        <f>SUMIFS("⏰ Time Log"!E:E, "⏰ Time Log"!B:B, "2026-08-20", "⏰ Time Log"!G:G, "Exercise")</f>
        <v/>
      </c>
      <c r="I24">
        <f>SUMIFS("⏰ Time Log"!E:E, "⏰ Time Log"!B:B, "2026-08-20", "⏰ Time Log"!G:G, "Entertainment")</f>
        <v/>
      </c>
      <c r="J24">
        <f>SUMIFS("⏰ Time Log"!E:E, "⏰ Time Log"!B:B, "2026-08-20", "⏰ Time Log"!G:G, "Other")</f>
        <v/>
      </c>
    </row>
    <row r="25">
      <c r="A25" s="4" t="inlineStr">
        <is>
          <t>2026-08-21</t>
        </is>
      </c>
      <c r="B25">
        <f>SUMIFS("⏰ Time Log"!E:E, "⏰ Time Log"!B:B, "2026-08-21")</f>
        <v/>
      </c>
      <c r="C25">
        <f>IF(B25="", "", TEXT(INT(B25/60),"/0")&amp;"h "&amp;TEXT(MOD(B25,60),"/0")&amp;"m")</f>
        <v/>
      </c>
      <c r="D25">
        <f>SUMIFS("⏰ Time Log"!E:E, "⏰ Time Log"!B:B, "2026-08-21", "⏰ Time Log"!G:G, "Study")</f>
        <v/>
      </c>
      <c r="E25">
        <f>SUMIFS("⏰ Time Log"!E:E, "⏰ Time Log"!B:B, "2026-08-21", "⏰ Time Log"!G:G, "Work")</f>
        <v/>
      </c>
      <c r="F25">
        <f>SUMIFS("⏰ Time Log"!E:E, "⏰ Time Log"!B:B, "2026-08-21", "⏰ Time Log"!G:G, "Sleep")</f>
        <v/>
      </c>
      <c r="G25">
        <f>SUMIFS("⏰ Time Log"!E:E, "⏰ Time Log"!B:B, "2026-08-21", "⏰ Time Log"!G:G, "Personal")</f>
        <v/>
      </c>
      <c r="H25">
        <f>SUMIFS("⏰ Time Log"!E:E, "⏰ Time Log"!B:B, "2026-08-21", "⏰ Time Log"!G:G, "Exercise")</f>
        <v/>
      </c>
      <c r="I25">
        <f>SUMIFS("⏰ Time Log"!E:E, "⏰ Time Log"!B:B, "2026-08-21", "⏰ Time Log"!G:G, "Entertainment")</f>
        <v/>
      </c>
      <c r="J25">
        <f>SUMIFS("⏰ Time Log"!E:E, "⏰ Time Log"!B:B, "2026-08-21", "⏰ Time Log"!G:G, "Other")</f>
        <v/>
      </c>
    </row>
    <row r="26">
      <c r="A26" s="4" t="inlineStr">
        <is>
          <t>2026-08-22</t>
        </is>
      </c>
      <c r="B26">
        <f>SUMIFS("⏰ Time Log"!E:E, "⏰ Time Log"!B:B, "2026-08-22")</f>
        <v/>
      </c>
      <c r="C26">
        <f>IF(B26="", "", TEXT(INT(B26/60),"/0")&amp;"h "&amp;TEXT(MOD(B26,60),"/0")&amp;"m")</f>
        <v/>
      </c>
      <c r="D26">
        <f>SUMIFS("⏰ Time Log"!E:E, "⏰ Time Log"!B:B, "2026-08-22", "⏰ Time Log"!G:G, "Study")</f>
        <v/>
      </c>
      <c r="E26">
        <f>SUMIFS("⏰ Time Log"!E:E, "⏰ Time Log"!B:B, "2026-08-22", "⏰ Time Log"!G:G, "Work")</f>
        <v/>
      </c>
      <c r="F26">
        <f>SUMIFS("⏰ Time Log"!E:E, "⏰ Time Log"!B:B, "2026-08-22", "⏰ Time Log"!G:G, "Sleep")</f>
        <v/>
      </c>
      <c r="G26">
        <f>SUMIFS("⏰ Time Log"!E:E, "⏰ Time Log"!B:B, "2026-08-22", "⏰ Time Log"!G:G, "Personal")</f>
        <v/>
      </c>
      <c r="H26">
        <f>SUMIFS("⏰ Time Log"!E:E, "⏰ Time Log"!B:B, "2026-08-22", "⏰ Time Log"!G:G, "Exercise")</f>
        <v/>
      </c>
      <c r="I26">
        <f>SUMIFS("⏰ Time Log"!E:E, "⏰ Time Log"!B:B, "2026-08-22", "⏰ Time Log"!G:G, "Entertainment")</f>
        <v/>
      </c>
      <c r="J26">
        <f>SUMIFS("⏰ Time Log"!E:E, "⏰ Time Log"!B:B, "2026-08-22", "⏰ Time Log"!G:G, "Other")</f>
        <v/>
      </c>
    </row>
    <row r="27">
      <c r="A27" s="4" t="inlineStr">
        <is>
          <t>2026-08-23</t>
        </is>
      </c>
      <c r="B27">
        <f>SUMIFS("⏰ Time Log"!E:E, "⏰ Time Log"!B:B, "2026-08-23")</f>
        <v/>
      </c>
      <c r="C27">
        <f>IF(B27="", "", TEXT(INT(B27/60),"/0")&amp;"h "&amp;TEXT(MOD(B27,60),"/0")&amp;"m")</f>
        <v/>
      </c>
      <c r="D27">
        <f>SUMIFS("⏰ Time Log"!E:E, "⏰ Time Log"!B:B, "2026-08-23", "⏰ Time Log"!G:G, "Study")</f>
        <v/>
      </c>
      <c r="E27">
        <f>SUMIFS("⏰ Time Log"!E:E, "⏰ Time Log"!B:B, "2026-08-23", "⏰ Time Log"!G:G, "Work")</f>
        <v/>
      </c>
      <c r="F27">
        <f>SUMIFS("⏰ Time Log"!E:E, "⏰ Time Log"!B:B, "2026-08-23", "⏰ Time Log"!G:G, "Sleep")</f>
        <v/>
      </c>
      <c r="G27">
        <f>SUMIFS("⏰ Time Log"!E:E, "⏰ Time Log"!B:B, "2026-08-23", "⏰ Time Log"!G:G, "Personal")</f>
        <v/>
      </c>
      <c r="H27">
        <f>SUMIFS("⏰ Time Log"!E:E, "⏰ Time Log"!B:B, "2026-08-23", "⏰ Time Log"!G:G, "Exercise")</f>
        <v/>
      </c>
      <c r="I27">
        <f>SUMIFS("⏰ Time Log"!E:E, "⏰ Time Log"!B:B, "2026-08-23", "⏰ Time Log"!G:G, "Entertainment")</f>
        <v/>
      </c>
      <c r="J27">
        <f>SUMIFS("⏰ Time Log"!E:E, "⏰ Time Log"!B:B, "2026-08-23", "⏰ Time Log"!G:G, "Other")</f>
        <v/>
      </c>
    </row>
    <row r="28">
      <c r="A28" s="4" t="inlineStr">
        <is>
          <t>2026-08-24</t>
        </is>
      </c>
      <c r="B28">
        <f>SUMIFS("⏰ Time Log"!E:E, "⏰ Time Log"!B:B, "2026-08-24")</f>
        <v/>
      </c>
      <c r="C28">
        <f>IF(B28="", "", TEXT(INT(B28/60),"/0")&amp;"h "&amp;TEXT(MOD(B28,60),"/0")&amp;"m")</f>
        <v/>
      </c>
      <c r="D28">
        <f>SUMIFS("⏰ Time Log"!E:E, "⏰ Time Log"!B:B, "2026-08-24", "⏰ Time Log"!G:G, "Study")</f>
        <v/>
      </c>
      <c r="E28">
        <f>SUMIFS("⏰ Time Log"!E:E, "⏰ Time Log"!B:B, "2026-08-24", "⏰ Time Log"!G:G, "Work")</f>
        <v/>
      </c>
      <c r="F28">
        <f>SUMIFS("⏰ Time Log"!E:E, "⏰ Time Log"!B:B, "2026-08-24", "⏰ Time Log"!G:G, "Sleep")</f>
        <v/>
      </c>
      <c r="G28">
        <f>SUMIFS("⏰ Time Log"!E:E, "⏰ Time Log"!B:B, "2026-08-24", "⏰ Time Log"!G:G, "Personal")</f>
        <v/>
      </c>
      <c r="H28">
        <f>SUMIFS("⏰ Time Log"!E:E, "⏰ Time Log"!B:B, "2026-08-24", "⏰ Time Log"!G:G, "Exercise")</f>
        <v/>
      </c>
      <c r="I28">
        <f>SUMIFS("⏰ Time Log"!E:E, "⏰ Time Log"!B:B, "2026-08-24", "⏰ Time Log"!G:G, "Entertainment")</f>
        <v/>
      </c>
      <c r="J28">
        <f>SUMIFS("⏰ Time Log"!E:E, "⏰ Time Log"!B:B, "2026-08-24", "⏰ Time Log"!G:G, "Other")</f>
        <v/>
      </c>
    </row>
    <row r="29">
      <c r="A29" s="4" t="inlineStr">
        <is>
          <t>2026-08-25</t>
        </is>
      </c>
      <c r="B29">
        <f>SUMIFS("⏰ Time Log"!E:E, "⏰ Time Log"!B:B, "2026-08-25")</f>
        <v/>
      </c>
      <c r="C29">
        <f>IF(B29="", "", TEXT(INT(B29/60),"/0")&amp;"h "&amp;TEXT(MOD(B29,60),"/0")&amp;"m")</f>
        <v/>
      </c>
      <c r="D29">
        <f>SUMIFS("⏰ Time Log"!E:E, "⏰ Time Log"!B:B, "2026-08-25", "⏰ Time Log"!G:G, "Study")</f>
        <v/>
      </c>
      <c r="E29">
        <f>SUMIFS("⏰ Time Log"!E:E, "⏰ Time Log"!B:B, "2026-08-25", "⏰ Time Log"!G:G, "Work")</f>
        <v/>
      </c>
      <c r="F29">
        <f>SUMIFS("⏰ Time Log"!E:E, "⏰ Time Log"!B:B, "2026-08-25", "⏰ Time Log"!G:G, "Sleep")</f>
        <v/>
      </c>
      <c r="G29">
        <f>SUMIFS("⏰ Time Log"!E:E, "⏰ Time Log"!B:B, "2026-08-25", "⏰ Time Log"!G:G, "Personal")</f>
        <v/>
      </c>
      <c r="H29">
        <f>SUMIFS("⏰ Time Log"!E:E, "⏰ Time Log"!B:B, "2026-08-25", "⏰ Time Log"!G:G, "Exercise")</f>
        <v/>
      </c>
      <c r="I29">
        <f>SUMIFS("⏰ Time Log"!E:E, "⏰ Time Log"!B:B, "2026-08-25", "⏰ Time Log"!G:G, "Entertainment")</f>
        <v/>
      </c>
      <c r="J29">
        <f>SUMIFS("⏰ Time Log"!E:E, "⏰ Time Log"!B:B, "2026-08-25", "⏰ Time Log"!G:G, "Other")</f>
        <v/>
      </c>
    </row>
    <row r="30">
      <c r="A30" s="4" t="inlineStr">
        <is>
          <t>2026-08-26</t>
        </is>
      </c>
      <c r="B30">
        <f>SUMIFS("⏰ Time Log"!E:E, "⏰ Time Log"!B:B, "2026-08-26")</f>
        <v/>
      </c>
      <c r="C30">
        <f>IF(B30="", "", TEXT(INT(B30/60),"/0")&amp;"h "&amp;TEXT(MOD(B30,60),"/0")&amp;"m")</f>
        <v/>
      </c>
      <c r="D30">
        <f>SUMIFS("⏰ Time Log"!E:E, "⏰ Time Log"!B:B, "2026-08-26", "⏰ Time Log"!G:G, "Study")</f>
        <v/>
      </c>
      <c r="E30">
        <f>SUMIFS("⏰ Time Log"!E:E, "⏰ Time Log"!B:B, "2026-08-26", "⏰ Time Log"!G:G, "Work")</f>
        <v/>
      </c>
      <c r="F30">
        <f>SUMIFS("⏰ Time Log"!E:E, "⏰ Time Log"!B:B, "2026-08-26", "⏰ Time Log"!G:G, "Sleep")</f>
        <v/>
      </c>
      <c r="G30">
        <f>SUMIFS("⏰ Time Log"!E:E, "⏰ Time Log"!B:B, "2026-08-26", "⏰ Time Log"!G:G, "Personal")</f>
        <v/>
      </c>
      <c r="H30">
        <f>SUMIFS("⏰ Time Log"!E:E, "⏰ Time Log"!B:B, "2026-08-26", "⏰ Time Log"!G:G, "Exercise")</f>
        <v/>
      </c>
      <c r="I30">
        <f>SUMIFS("⏰ Time Log"!E:E, "⏰ Time Log"!B:B, "2026-08-26", "⏰ Time Log"!G:G, "Entertainment")</f>
        <v/>
      </c>
      <c r="J30">
        <f>SUMIFS("⏰ Time Log"!E:E, "⏰ Time Log"!B:B, "2026-08-26", "⏰ Time Log"!G:G, "Other")</f>
        <v/>
      </c>
    </row>
    <row r="31">
      <c r="A31" s="4" t="inlineStr">
        <is>
          <t>2026-08-27</t>
        </is>
      </c>
      <c r="B31">
        <f>SUMIFS("⏰ Time Log"!E:E, "⏰ Time Log"!B:B, "2026-08-27")</f>
        <v/>
      </c>
      <c r="C31">
        <f>IF(B31="", "", TEXT(INT(B31/60),"/0")&amp;"h "&amp;TEXT(MOD(B31,60),"/0")&amp;"m")</f>
        <v/>
      </c>
      <c r="D31">
        <f>SUMIFS("⏰ Time Log"!E:E, "⏰ Time Log"!B:B, "2026-08-27", "⏰ Time Log"!G:G, "Study")</f>
        <v/>
      </c>
      <c r="E31">
        <f>SUMIFS("⏰ Time Log"!E:E, "⏰ Time Log"!B:B, "2026-08-27", "⏰ Time Log"!G:G, "Work")</f>
        <v/>
      </c>
      <c r="F31">
        <f>SUMIFS("⏰ Time Log"!E:E, "⏰ Time Log"!B:B, "2026-08-27", "⏰ Time Log"!G:G, "Sleep")</f>
        <v/>
      </c>
      <c r="G31">
        <f>SUMIFS("⏰ Time Log"!E:E, "⏰ Time Log"!B:B, "2026-08-27", "⏰ Time Log"!G:G, "Personal")</f>
        <v/>
      </c>
      <c r="H31">
        <f>SUMIFS("⏰ Time Log"!E:E, "⏰ Time Log"!B:B, "2026-08-27", "⏰ Time Log"!G:G, "Exercise")</f>
        <v/>
      </c>
      <c r="I31">
        <f>SUMIFS("⏰ Time Log"!E:E, "⏰ Time Log"!B:B, "2026-08-27", "⏰ Time Log"!G:G, "Entertainment")</f>
        <v/>
      </c>
      <c r="J31">
        <f>SUMIFS("⏰ Time Log"!E:E, "⏰ Time Log"!B:B, "2026-08-27", "⏰ Time Log"!G:G, "Other")</f>
        <v/>
      </c>
    </row>
    <row r="32">
      <c r="A32" s="4" t="inlineStr">
        <is>
          <t>2026-08-28</t>
        </is>
      </c>
      <c r="B32">
        <f>SUMIFS("⏰ Time Log"!E:E, "⏰ Time Log"!B:B, "2026-08-28")</f>
        <v/>
      </c>
      <c r="C32">
        <f>IF(B32="", "", TEXT(INT(B32/60),"/0")&amp;"h "&amp;TEXT(MOD(B32,60),"/0")&amp;"m")</f>
        <v/>
      </c>
      <c r="D32">
        <f>SUMIFS("⏰ Time Log"!E:E, "⏰ Time Log"!B:B, "2026-08-28", "⏰ Time Log"!G:G, "Study")</f>
        <v/>
      </c>
      <c r="E32">
        <f>SUMIFS("⏰ Time Log"!E:E, "⏰ Time Log"!B:B, "2026-08-28", "⏰ Time Log"!G:G, "Work")</f>
        <v/>
      </c>
      <c r="F32">
        <f>SUMIFS("⏰ Time Log"!E:E, "⏰ Time Log"!B:B, "2026-08-28", "⏰ Time Log"!G:G, "Sleep")</f>
        <v/>
      </c>
      <c r="G32">
        <f>SUMIFS("⏰ Time Log"!E:E, "⏰ Time Log"!B:B, "2026-08-28", "⏰ Time Log"!G:G, "Personal")</f>
        <v/>
      </c>
      <c r="H32">
        <f>SUMIFS("⏰ Time Log"!E:E, "⏰ Time Log"!B:B, "2026-08-28", "⏰ Time Log"!G:G, "Exercise")</f>
        <v/>
      </c>
      <c r="I32">
        <f>SUMIFS("⏰ Time Log"!E:E, "⏰ Time Log"!B:B, "2026-08-28", "⏰ Time Log"!G:G, "Entertainment")</f>
        <v/>
      </c>
      <c r="J32">
        <f>SUMIFS("⏰ Time Log"!E:E, "⏰ Time Log"!B:B, "2026-08-28", "⏰ Time Log"!G:G, "Other")</f>
        <v/>
      </c>
    </row>
    <row r="33">
      <c r="A33" s="4" t="inlineStr">
        <is>
          <t>2026-08-29</t>
        </is>
      </c>
      <c r="B33">
        <f>SUMIFS("⏰ Time Log"!E:E, "⏰ Time Log"!B:B, "2026-08-29")</f>
        <v/>
      </c>
      <c r="C33">
        <f>IF(B33="", "", TEXT(INT(B33/60),"/0")&amp;"h "&amp;TEXT(MOD(B33,60),"/0")&amp;"m")</f>
        <v/>
      </c>
      <c r="D33">
        <f>SUMIFS("⏰ Time Log"!E:E, "⏰ Time Log"!B:B, "2026-08-29", "⏰ Time Log"!G:G, "Study")</f>
        <v/>
      </c>
      <c r="E33">
        <f>SUMIFS("⏰ Time Log"!E:E, "⏰ Time Log"!B:B, "2026-08-29", "⏰ Time Log"!G:G, "Work")</f>
        <v/>
      </c>
      <c r="F33">
        <f>SUMIFS("⏰ Time Log"!E:E, "⏰ Time Log"!B:B, "2026-08-29", "⏰ Time Log"!G:G, "Sleep")</f>
        <v/>
      </c>
      <c r="G33">
        <f>SUMIFS("⏰ Time Log"!E:E, "⏰ Time Log"!B:B, "2026-08-29", "⏰ Time Log"!G:G, "Personal")</f>
        <v/>
      </c>
      <c r="H33">
        <f>SUMIFS("⏰ Time Log"!E:E, "⏰ Time Log"!B:B, "2026-08-29", "⏰ Time Log"!G:G, "Exercise")</f>
        <v/>
      </c>
      <c r="I33">
        <f>SUMIFS("⏰ Time Log"!E:E, "⏰ Time Log"!B:B, "2026-08-29", "⏰ Time Log"!G:G, "Entertainment")</f>
        <v/>
      </c>
      <c r="J33">
        <f>SUMIFS("⏰ Time Log"!E:E, "⏰ Time Log"!B:B, "2026-08-29", "⏰ Time Log"!G:G, "Other")</f>
        <v/>
      </c>
    </row>
    <row r="34">
      <c r="A34" s="4" t="inlineStr">
        <is>
          <t>2026-08-30</t>
        </is>
      </c>
      <c r="B34">
        <f>SUMIFS("⏰ Time Log"!E:E, "⏰ Time Log"!B:B, "2026-08-30")</f>
        <v/>
      </c>
      <c r="C34">
        <f>IF(B34="", "", TEXT(INT(B34/60),"/0")&amp;"h "&amp;TEXT(MOD(B34,60),"/0")&amp;"m")</f>
        <v/>
      </c>
      <c r="D34">
        <f>SUMIFS("⏰ Time Log"!E:E, "⏰ Time Log"!B:B, "2026-08-30", "⏰ Time Log"!G:G, "Study")</f>
        <v/>
      </c>
      <c r="E34">
        <f>SUMIFS("⏰ Time Log"!E:E, "⏰ Time Log"!B:B, "2026-08-30", "⏰ Time Log"!G:G, "Work")</f>
        <v/>
      </c>
      <c r="F34">
        <f>SUMIFS("⏰ Time Log"!E:E, "⏰ Time Log"!B:B, "2026-08-30", "⏰ Time Log"!G:G, "Sleep")</f>
        <v/>
      </c>
      <c r="G34">
        <f>SUMIFS("⏰ Time Log"!E:E, "⏰ Time Log"!B:B, "2026-08-30", "⏰ Time Log"!G:G, "Personal")</f>
        <v/>
      </c>
      <c r="H34">
        <f>SUMIFS("⏰ Time Log"!E:E, "⏰ Time Log"!B:B, "2026-08-30", "⏰ Time Log"!G:G, "Exercise")</f>
        <v/>
      </c>
      <c r="I34">
        <f>SUMIFS("⏰ Time Log"!E:E, "⏰ Time Log"!B:B, "2026-08-30", "⏰ Time Log"!G:G, "Entertainment")</f>
        <v/>
      </c>
      <c r="J34">
        <f>SUMIFS("⏰ Time Log"!E:E, "⏰ Time Log"!B:B, "2026-08-30", "⏰ Time Log"!G:G, "Other")</f>
        <v/>
      </c>
    </row>
    <row r="35">
      <c r="A35" s="4" t="inlineStr">
        <is>
          <t>2026-08-31</t>
        </is>
      </c>
      <c r="B35">
        <f>SUMIFS("⏰ Time Log"!E:E, "⏰ Time Log"!B:B, "2026-08-31")</f>
        <v/>
      </c>
      <c r="C35">
        <f>IF(B35="", "", TEXT(INT(B35/60),"/0")&amp;"h "&amp;TEXT(MOD(B35,60),"/0")&amp;"m")</f>
        <v/>
      </c>
      <c r="D35">
        <f>SUMIFS("⏰ Time Log"!E:E, "⏰ Time Log"!B:B, "2026-08-31", "⏰ Time Log"!G:G, "Study")</f>
        <v/>
      </c>
      <c r="E35">
        <f>SUMIFS("⏰ Time Log"!E:E, "⏰ Time Log"!B:B, "2026-08-31", "⏰ Time Log"!G:G, "Work")</f>
        <v/>
      </c>
      <c r="F35">
        <f>SUMIFS("⏰ Time Log"!E:E, "⏰ Time Log"!B:B, "2026-08-31", "⏰ Time Log"!G:G, "Sleep")</f>
        <v/>
      </c>
      <c r="G35">
        <f>SUMIFS("⏰ Time Log"!E:E, "⏰ Time Log"!B:B, "2026-08-31", "⏰ Time Log"!G:G, "Personal")</f>
        <v/>
      </c>
      <c r="H35">
        <f>SUMIFS("⏰ Time Log"!E:E, "⏰ Time Log"!B:B, "2026-08-31", "⏰ Time Log"!G:G, "Exercise")</f>
        <v/>
      </c>
      <c r="I35">
        <f>SUMIFS("⏰ Time Log"!E:E, "⏰ Time Log"!B:B, "2026-08-31", "⏰ Time Log"!G:G, "Entertainment")</f>
        <v/>
      </c>
      <c r="J35">
        <f>SUMIFS("⏰ Time Log"!E:E, "⏰ Time Log"!B:B, "2026-08-31", "⏰ Time Log"!G:G, "Other")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MONTHLY TREND</t>
        </is>
      </c>
    </row>
    <row r="2">
      <c r="A2" s="12" t="inlineStr">
        <is>
          <t>2026 Year Overview</t>
        </is>
      </c>
    </row>
    <row r="4">
      <c r="A4" s="2" t="inlineStr">
        <is>
          <t>Month</t>
        </is>
      </c>
      <c r="B4" s="2" t="inlineStr">
        <is>
          <t>Total Hours</t>
        </is>
      </c>
      <c r="C4" s="2" t="inlineStr">
        <is>
          <t>Total Records</t>
        </is>
      </c>
    </row>
    <row r="5">
      <c r="A5" t="inlineStr">
        <is>
          <t>January</t>
        </is>
      </c>
      <c r="B5" s="15">
        <f>SUMIFS("⏰ Time Log"!E:E, "⏰ Time Log"!J:J, 1, "⏰ Time Log"!K:K, 2026)/60</f>
        <v/>
      </c>
      <c r="C5">
        <f>COUNTIFS("⏰ Time Log"!J:J, 1, "⏰ Time Log"!K:K, 2026)</f>
        <v/>
      </c>
    </row>
    <row r="6">
      <c r="A6" t="inlineStr">
        <is>
          <t>February</t>
        </is>
      </c>
      <c r="B6" s="15">
        <f>SUMIFS("⏰ Time Log"!E:E, "⏰ Time Log"!J:J, 2, "⏰ Time Log"!K:K, 2026)/60</f>
        <v/>
      </c>
      <c r="C6">
        <f>COUNTIFS("⏰ Time Log"!J:J, 2, "⏰ Time Log"!K:K, 2026)</f>
        <v/>
      </c>
    </row>
    <row r="7">
      <c r="A7" t="inlineStr">
        <is>
          <t>March</t>
        </is>
      </c>
      <c r="B7" s="15">
        <f>SUMIFS("⏰ Time Log"!E:E, "⏰ Time Log"!J:J, 3, "⏰ Time Log"!K:K, 2026)/60</f>
        <v/>
      </c>
      <c r="C7">
        <f>COUNTIFS("⏰ Time Log"!J:J, 3, "⏰ Time Log"!K:K, 2026)</f>
        <v/>
      </c>
    </row>
    <row r="8">
      <c r="A8" t="inlineStr">
        <is>
          <t>April</t>
        </is>
      </c>
      <c r="B8" s="15">
        <f>SUMIFS("⏰ Time Log"!E:E, "⏰ Time Log"!J:J, 4, "⏰ Time Log"!K:K, 2026)/60</f>
        <v/>
      </c>
      <c r="C8">
        <f>COUNTIFS("⏰ Time Log"!J:J, 4, "⏰ Time Log"!K:K, 2026)</f>
        <v/>
      </c>
    </row>
    <row r="9">
      <c r="A9" t="inlineStr">
        <is>
          <t>May</t>
        </is>
      </c>
      <c r="B9" s="15">
        <f>SUMIFS("⏰ Time Log"!E:E, "⏰ Time Log"!J:J, 5, "⏰ Time Log"!K:K, 2026)/60</f>
        <v/>
      </c>
      <c r="C9">
        <f>COUNTIFS("⏰ Time Log"!J:J, 5, "⏰ Time Log"!K:K, 2026)</f>
        <v/>
      </c>
    </row>
    <row r="10">
      <c r="A10" t="inlineStr">
        <is>
          <t>June</t>
        </is>
      </c>
      <c r="B10" s="15">
        <f>SUMIFS("⏰ Time Log"!E:E, "⏰ Time Log"!J:J, 6, "⏰ Time Log"!K:K, 2026)/60</f>
        <v/>
      </c>
      <c r="C10">
        <f>COUNTIFS("⏰ Time Log"!J:J, 6, "⏰ Time Log"!K:K, 2026)</f>
        <v/>
      </c>
    </row>
    <row r="11">
      <c r="A11" t="inlineStr">
        <is>
          <t>July</t>
        </is>
      </c>
      <c r="B11" s="15">
        <f>SUMIFS("⏰ Time Log"!E:E, "⏰ Time Log"!J:J, 7, "⏰ Time Log"!K:K, 2026)/60</f>
        <v/>
      </c>
      <c r="C11">
        <f>COUNTIFS("⏰ Time Log"!J:J, 7, "⏰ Time Log"!K:K, 2026)</f>
        <v/>
      </c>
    </row>
    <row r="12">
      <c r="A12" t="inlineStr">
        <is>
          <t>August</t>
        </is>
      </c>
      <c r="B12" s="15">
        <f>SUMIFS("⏰ Time Log"!E:E, "⏰ Time Log"!J:J, 8, "⏰ Time Log"!K:K, 2026)/60</f>
        <v/>
      </c>
      <c r="C12">
        <f>COUNTIFS("⏰ Time Log"!J:J, 8, "⏰ Time Log"!K:K, 2026)</f>
        <v/>
      </c>
    </row>
    <row r="13">
      <c r="A13" t="inlineStr">
        <is>
          <t>September</t>
        </is>
      </c>
      <c r="B13" s="15">
        <f>SUMIFS("⏰ Time Log"!E:E, "⏰ Time Log"!J:J, 9, "⏰ Time Log"!K:K, 2026)/60</f>
        <v/>
      </c>
      <c r="C13">
        <f>COUNTIFS("⏰ Time Log"!J:J, 9, "⏰ Time Log"!K:K, 2026)</f>
        <v/>
      </c>
    </row>
    <row r="14">
      <c r="A14" t="inlineStr">
        <is>
          <t>October</t>
        </is>
      </c>
      <c r="B14" s="15">
        <f>SUMIFS("⏰ Time Log"!E:E, "⏰ Time Log"!J:J, 10, "⏰ Time Log"!K:K, 2026)/60</f>
        <v/>
      </c>
      <c r="C14">
        <f>COUNTIFS("⏰ Time Log"!J:J, 10, "⏰ Time Log"!K:K, 2026)</f>
        <v/>
      </c>
    </row>
    <row r="15">
      <c r="A15" t="inlineStr">
        <is>
          <t>November</t>
        </is>
      </c>
      <c r="B15" s="15">
        <f>SUMIFS("⏰ Time Log"!E:E, "⏰ Time Log"!J:J, 11, "⏰ Time Log"!K:K, 2026)/60</f>
        <v/>
      </c>
      <c r="C15">
        <f>COUNTIFS("⏰ Time Log"!J:J, 11, "⏰ Time Log"!K:K, 2026)</f>
        <v/>
      </c>
    </row>
    <row r="16">
      <c r="A16" t="inlineStr">
        <is>
          <t>December</t>
        </is>
      </c>
      <c r="B16" s="15">
        <f>SUMIFS("⏰ Time Log"!E:E, "⏰ Time Log"!J:J, 12, "⏰ Time Log"!K:K, 2026)/60</f>
        <v/>
      </c>
      <c r="C16">
        <f>COUNTIFS("⏰ Time Log"!J:J, 12, "⏰ Time Log"!K:K, 2026)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DONUT CHART DATA</t>
        </is>
      </c>
    </row>
    <row r="2">
      <c r="A2" t="inlineStr">
        <is>
          <t>Category Distribution - August 2026</t>
        </is>
      </c>
    </row>
    <row r="4">
      <c r="A4" s="2" t="inlineStr">
        <is>
          <t>Category</t>
        </is>
      </c>
      <c r="B4" s="2" t="inlineStr">
        <is>
          <t>Hours</t>
        </is>
      </c>
    </row>
    <row r="5">
      <c r="A5" t="inlineStr">
        <is>
          <t>Study</t>
        </is>
      </c>
      <c r="B5">
        <f>SUMIFS("⏰ Time Log"!E:E, "⏰ Time Log"!G:G, "Study", "⏰ Time Log"!J:J, MONTH(DATEVALUE("August 2026")), "⏰ Time Log"!K:K, YEAR(DATEVALUE("August 2026")))/60</f>
        <v/>
      </c>
    </row>
    <row r="6">
      <c r="A6" t="inlineStr">
        <is>
          <t>Work</t>
        </is>
      </c>
      <c r="B6">
        <f>SUMIFS("⏰ Time Log"!E:E, "⏰ Time Log"!G:G, "Work", "⏰ Time Log"!J:J, MONTH(DATEVALUE("August 2026")), "⏰ Time Log"!K:K, YEAR(DATEVALUE("August 2026")))/60</f>
        <v/>
      </c>
    </row>
    <row r="7">
      <c r="A7" t="inlineStr">
        <is>
          <t>Sleep</t>
        </is>
      </c>
      <c r="B7">
        <f>SUMIFS("⏰ Time Log"!E:E, "⏰ Time Log"!G:G, "Sleep", "⏰ Time Log"!J:J, MONTH(DATEVALUE("August 2026")), "⏰ Time Log"!K:K, YEAR(DATEVALUE("August 2026")))/60</f>
        <v/>
      </c>
    </row>
    <row r="8">
      <c r="A8" t="inlineStr">
        <is>
          <t>Personal</t>
        </is>
      </c>
      <c r="B8">
        <f>SUMIFS("⏰ Time Log"!E:E, "⏰ Time Log"!G:G, "Personal", "⏰ Time Log"!J:J, MONTH(DATEVALUE("August 2026")), "⏰ Time Log"!K:K, YEAR(DATEVALUE("August 2026")))/60</f>
        <v/>
      </c>
    </row>
    <row r="9">
      <c r="A9" t="inlineStr">
        <is>
          <t>Exercise</t>
        </is>
      </c>
      <c r="B9">
        <f>SUMIFS("⏰ Time Log"!E:E, "⏰ Time Log"!G:G, "Exercise", "⏰ Time Log"!J:J, MONTH(DATEVALUE("August 2026")), "⏰ Time Log"!K:K, YEAR(DATEVALUE("August 2026")))/60</f>
        <v/>
      </c>
    </row>
    <row r="10">
      <c r="A10" s="2" t="inlineStr">
        <is>
          <t>Entertainment</t>
        </is>
      </c>
      <c r="B10" s="2">
        <f>SUMIFS("⏰ Time Log"!E:E, "⏰ Time Log"!G:G, "Entertainment", "⏰ Time Log"!J:J, MONTH(DATEVALUE("August 2026")), "⏰ Time Log"!K:K, YEAR(DATEVALUE("August 2026")))/60</f>
        <v/>
      </c>
    </row>
    <row r="11">
      <c r="A11" t="inlineStr">
        <is>
          <t>Other</t>
        </is>
      </c>
      <c r="B11">
        <f>SUMIFS("⏰ Time Log"!E:E, "⏰ Time Log"!J:J, 1, "⏰ Time Log"!K:K, 2026)/60</f>
        <v/>
      </c>
    </row>
    <row r="12">
      <c r="B12">
        <f>SUMIFS("⏰ Time Log"!E:E, "⏰ Time Log"!J:J, 2, "⏰ Time Log"!K:K, 2026)/60</f>
        <v/>
      </c>
    </row>
    <row r="13">
      <c r="A13" t="inlineStr">
        <is>
          <t>LINE CHART DATA</t>
        </is>
      </c>
      <c r="B13">
        <f>SUMIFS("⏰ Time Log"!E:E, "⏰ Time Log"!J:J, 3, "⏰ Time Log"!K:K, 2026)/60</f>
        <v/>
      </c>
    </row>
    <row r="14">
      <c r="A14" t="inlineStr">
        <is>
          <t>Monthly Trend - 2026</t>
        </is>
      </c>
      <c r="B14">
        <f>SUMIFS("⏰ Time Log"!E:E, "⏰ Time Log"!J:J, 4, "⏰ Time Log"!K:K, 2026)/60</f>
        <v/>
      </c>
    </row>
    <row r="15">
      <c r="B15">
        <f>SUMIFS("⏰ Time Log"!E:E, "⏰ Time Log"!J:J, 5, "⏰ Time Log"!K:K, 2026)/60</f>
        <v/>
      </c>
    </row>
    <row r="16">
      <c r="A16" t="inlineStr">
        <is>
          <t>Month</t>
        </is>
      </c>
      <c r="B16">
        <f>SUMIFS("⏰ Time Log"!E:E, "⏰ Time Log"!J:J, 6, "⏰ Time Log"!K:K, 2026)/60</f>
        <v/>
      </c>
    </row>
    <row r="17">
      <c r="A17" t="inlineStr">
        <is>
          <t>January</t>
        </is>
      </c>
      <c r="B17">
        <f>SUMIFS("⏰ Time Log"!E:E, "⏰ Time Log"!J:J, 7, "⏰ Time Log"!K:K, 2026)/60</f>
        <v/>
      </c>
    </row>
    <row r="18">
      <c r="A18" t="inlineStr">
        <is>
          <t>February</t>
        </is>
      </c>
      <c r="B18">
        <f>SUMIFS("⏰ Time Log"!E:E, "⏰ Time Log"!J:J, 8, "⏰ Time Log"!K:K, 2026)/60</f>
        <v/>
      </c>
    </row>
    <row r="19">
      <c r="A19" t="inlineStr">
        <is>
          <t>March</t>
        </is>
      </c>
      <c r="B19">
        <f>SUMIFS("⏰ Time Log"!E:E, "⏰ Time Log"!J:J, 9, "⏰ Time Log"!K:K, 2026)/60</f>
        <v/>
      </c>
    </row>
    <row r="20">
      <c r="A20" t="inlineStr">
        <is>
          <t>April</t>
        </is>
      </c>
      <c r="B20">
        <f>SUMIFS("⏰ Time Log"!E:E, "⏰ Time Log"!J:J, 10, "⏰ Time Log"!K:K, 2026)/60</f>
        <v/>
      </c>
    </row>
    <row r="21">
      <c r="A21" t="inlineStr">
        <is>
          <t>May</t>
        </is>
      </c>
      <c r="B21">
        <f>SUMIFS("⏰ Time Log"!E:E, "⏰ Time Log"!J:J, 11, "⏰ Time Log"!K:K, 2026)/60</f>
        <v/>
      </c>
    </row>
    <row r="22">
      <c r="A22" t="inlineStr">
        <is>
          <t>June</t>
        </is>
      </c>
      <c r="B22">
        <f>SUMIFS("⏰ Time Log"!E:E, "⏰ Time Log"!J:J, 12, "⏰ Time Log"!K:K, 2026)/60</f>
        <v/>
      </c>
    </row>
    <row r="23">
      <c r="A23" t="inlineStr">
        <is>
          <t>July</t>
        </is>
      </c>
    </row>
    <row r="24">
      <c r="A24" t="inlineStr">
        <is>
          <t>August</t>
        </is>
      </c>
    </row>
    <row r="25">
      <c r="A25" t="inlineStr">
        <is>
          <t>September</t>
        </is>
      </c>
    </row>
    <row r="26">
      <c r="A26" t="inlineStr">
        <is>
          <t>October</t>
        </is>
      </c>
    </row>
    <row r="27">
      <c r="A27" t="inlineStr">
        <is>
          <t>November</t>
        </is>
      </c>
    </row>
    <row r="28">
      <c r="A28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2026-08-29T06:59:52Z</dcterms:created>
  <dcterms:modified xsi:type="dcterms:W3CDTF">2026-08-29T06:59:52Z</dcterms:modified>
</cp:coreProperties>
</file>